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akash/Downloads/"/>
    </mc:Choice>
  </mc:AlternateContent>
  <xr:revisionPtr revIDLastSave="0" documentId="13_ncr:1_{818E776A-696D-3C49-9450-985E689BEC86}" xr6:coauthVersionLast="47" xr6:coauthVersionMax="47" xr10:uidLastSave="{00000000-0000-0000-0000-000000000000}"/>
  <bookViews>
    <workbookView xWindow="0" yWindow="680" windowWidth="29400" windowHeight="18440" activeTab="6" xr2:uid="{00000000-000D-0000-FFFF-FFFF00000000}"/>
  </bookViews>
  <sheets>
    <sheet name="📊 Dashboard" sheetId="1" r:id="rId1"/>
    <sheet name="📐 Asset Allocation" sheetId="2" r:id="rId2"/>
    <sheet name="🏦 Fund Selection" sheetId="3" r:id="rId3"/>
    <sheet name="💰 Income &amp; Growth" sheetId="4" r:id="rId4"/>
    <sheet name="🧾 Tax Location" sheetId="5" r:id="rId5"/>
    <sheet name="📅 Rebalancing" sheetId="6" r:id="rId6"/>
    <sheet name="⚡ Risk &amp; Benchmark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F12" i="4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</calcChain>
</file>

<file path=xl/sharedStrings.xml><?xml version="1.0" encoding="utf-8"?>
<sst xmlns="http://schemas.openxmlformats.org/spreadsheetml/2006/main" count="385" uniqueCount="348">
  <si>
    <t>MORGAN STANLEY WEALTH MANAGEMENT</t>
  </si>
  <si>
    <t>INVESTMENT POLICY STATEMENT — PORTFOLIO DASHBOARD</t>
  </si>
  <si>
    <t xml:space="preserve">  CLIENT PROFILE</t>
  </si>
  <si>
    <t>Age Group</t>
  </si>
  <si>
    <t>Under 35 — 30+ Year Horizon</t>
  </si>
  <si>
    <t>Investable Assets (Midpoint)</t>
  </si>
  <si>
    <t>$375,000</t>
  </si>
  <si>
    <t>Risk Profile</t>
  </si>
  <si>
    <t>Balanced — Growth-Tilted</t>
  </si>
  <si>
    <t>Income Requirement</t>
  </si>
  <si>
    <t>Modest (~$5,000/yr target)</t>
  </si>
  <si>
    <t>Composite Risk Capacity Score</t>
  </si>
  <si>
    <t>8.0 / 10  (HIGH)</t>
  </si>
  <si>
    <t>Account Types</t>
  </si>
  <si>
    <t>401(k), Roth IRA, Taxable Brokerage, HSA</t>
  </si>
  <si>
    <t>Investment Restrictions</t>
  </si>
  <si>
    <t>Funds Only — No Individual Stocks</t>
  </si>
  <si>
    <t>Benchmark</t>
  </si>
  <si>
    <t>60% MSCI ACWI / 40% Bloomberg Agg (blended)</t>
  </si>
  <si>
    <t>IPS Prepared</t>
  </si>
  <si>
    <t>2025</t>
  </si>
  <si>
    <t xml:space="preserve">  RETURN OBJECTIVES</t>
  </si>
  <si>
    <t>Annual Real Return Target</t>
  </si>
  <si>
    <t>5.5% – 7.0%</t>
  </si>
  <si>
    <t>Nominal Annual Return Target</t>
  </si>
  <si>
    <t>7.5% – 9.5%</t>
  </si>
  <si>
    <t>Annual Income Generation</t>
  </si>
  <si>
    <t>$2,500 – $5,000</t>
  </si>
  <si>
    <t>Max Acceptable 1-Year Drawdown</t>
  </si>
  <si>
    <t>-28% to -35%</t>
  </si>
  <si>
    <t>Rebalancing Frequency</t>
  </si>
  <si>
    <t>Annual + Threshold (±7% drift)</t>
  </si>
  <si>
    <t>Blended Expense Ratio</t>
  </si>
  <si>
    <t>~0.09%</t>
  </si>
  <si>
    <t xml:space="preserve">  30-YEAR WEALTH PROJECTION  (7.5% nominal, no additional contributions)</t>
  </si>
  <si>
    <t>Milestone</t>
  </si>
  <si>
    <t>Years</t>
  </si>
  <si>
    <t>Age (est.)</t>
  </si>
  <si>
    <t>Portfolio Value</t>
  </si>
  <si>
    <t>Cumulative Gain</t>
  </si>
  <si>
    <t>Today</t>
  </si>
  <si>
    <t>Year 5</t>
  </si>
  <si>
    <t>Year 10</t>
  </si>
  <si>
    <t>Year 15</t>
  </si>
  <si>
    <t>Year 20</t>
  </si>
  <si>
    <t>Year 25</t>
  </si>
  <si>
    <t>Year 30</t>
  </si>
  <si>
    <t>⚠  Illustrative projections only. Past performance does not guarantee future results. Consult a licensed CFP or RIA before making investment decisions.</t>
  </si>
  <si>
    <t>STRATEGIC ASSET ALLOCATION</t>
  </si>
  <si>
    <t xml:space="preserve">  MASTER ALLOCATION TABLE  |  Portfolio Midpoint: $375,000</t>
  </si>
  <si>
    <t>Asset Class</t>
  </si>
  <si>
    <t>Target %</t>
  </si>
  <si>
    <t>Min %</t>
  </si>
  <si>
    <t>Max %</t>
  </si>
  <si>
    <t>$ Amount (375K)</t>
  </si>
  <si>
    <t>Notes</t>
  </si>
  <si>
    <t>EQUITIES — TOTAL</t>
  </si>
  <si>
    <t>Core growth engine</t>
  </si>
  <si>
    <t xml:space="preserve">  US Large Cap (Core) — VTI</t>
  </si>
  <si>
    <t>Broadest US market exposure</t>
  </si>
  <si>
    <t xml:space="preserve">  US Small/Mid Cap — IJR</t>
  </si>
  <si>
    <t>Small-cap premium factor</t>
  </si>
  <si>
    <t xml:space="preserve">  International Developed — VXUS</t>
  </si>
  <si>
    <t>47-country diversification</t>
  </si>
  <si>
    <t xml:space="preserve">  Emerging Markets — VWO</t>
  </si>
  <si>
    <t>High-growth EM exposure</t>
  </si>
  <si>
    <t>Equities 68%</t>
  </si>
  <si>
    <t xml:space="preserve">  Dividend / Income — VIG</t>
  </si>
  <si>
    <t>Quality dividend growers</t>
  </si>
  <si>
    <t>Fixed Income 16%</t>
  </si>
  <si>
    <t xml:space="preserve">  Satellite Tech Tilt — QQQ</t>
  </si>
  <si>
    <t>Minimal innovation tilt</t>
  </si>
  <si>
    <t>Real Estate 8%</t>
  </si>
  <si>
    <t xml:space="preserve">  VXUS Income Component</t>
  </si>
  <si>
    <t>International dividend layer</t>
  </si>
  <si>
    <t>Alternatives 8%</t>
  </si>
  <si>
    <t>FIXED INCOME — TOTAL</t>
  </si>
  <si>
    <t>Volatility buffer + income</t>
  </si>
  <si>
    <t xml:space="preserve">  US Aggregate Bonds — BND</t>
  </si>
  <si>
    <t>Core bond market index</t>
  </si>
  <si>
    <t xml:space="preserve">  TIPS — SCHP</t>
  </si>
  <si>
    <t>Inflation protection</t>
  </si>
  <si>
    <t xml:space="preserve">  High Yield Corp — HYG</t>
  </si>
  <si>
    <t>Enhanced yield (capped)</t>
  </si>
  <si>
    <t>REAL ESTATE (REITs) — VNQ</t>
  </si>
  <si>
    <t>Real asset diversification</t>
  </si>
  <si>
    <t>ALTERNATIVES — TOTAL</t>
  </si>
  <si>
    <t>Inflation hedge + diversifier</t>
  </si>
  <si>
    <t xml:space="preserve">  Commodities — PDBC</t>
  </si>
  <si>
    <t>Inflation hedge, low correlation</t>
  </si>
  <si>
    <t xml:space="preserve">  Infrastructure — IFRA</t>
  </si>
  <si>
    <t>Policy-backed real assets</t>
  </si>
  <si>
    <t>TOTAL PORTFOLIO</t>
  </si>
  <si>
    <t>100% deployment target</t>
  </si>
  <si>
    <t>FUND &amp; ETF SELECTION — CORE vs. SATELLITE</t>
  </si>
  <si>
    <t xml:space="preserve">  CORE HOLDINGS  (75% of Portfolio) — Stable Foundation</t>
  </si>
  <si>
    <t>Ticker</t>
  </si>
  <si>
    <t>Fund Name</t>
  </si>
  <si>
    <t>Alloc.</t>
  </si>
  <si>
    <t>Exp. Ratio</t>
  </si>
  <si>
    <t>Dollar (375K)</t>
  </si>
  <si>
    <t>Investment Rationale</t>
  </si>
  <si>
    <t>VTI</t>
  </si>
  <si>
    <t>Vanguard Total Stock Market ETF</t>
  </si>
  <si>
    <t>Broadest US equity exposure — 4,000+ stocks, market-cap weighted. Near-zero cost. 30-year core anchor.</t>
  </si>
  <si>
    <t>VXUS</t>
  </si>
  <si>
    <t>Vanguard Total International ETF</t>
  </si>
  <si>
    <t>Single-fund international exposure across 47 countries, developed + emerging. Eliminates home-country bias.</t>
  </si>
  <si>
    <t>BND</t>
  </si>
  <si>
    <t>Vanguard Total Bond Market ETF</t>
  </si>
  <si>
    <t>Investment-grade US bond market. Core income and volatility buffer. Reduces max drawdown in crashes.</t>
  </si>
  <si>
    <t>SCHP</t>
  </si>
  <si>
    <t>Schwab US TIPS ETF</t>
  </si>
  <si>
    <t>Treasury Inflation-Protected Securities. Real return guarantee; critical over 30-year horizon with uncertain inflation.</t>
  </si>
  <si>
    <t>VNQ</t>
  </si>
  <si>
    <t>Vanguard Real Estate ETF (REITs)</t>
  </si>
  <si>
    <t>REIT index fund. Real estate exposure without direct ownership. ~3.5% dividend yield; low bond correlation.</t>
  </si>
  <si>
    <t>VIG</t>
  </si>
  <si>
    <t>Vanguard Dividend Appreciation ETF</t>
  </si>
  <si>
    <t>Dividend growers with 10+ consecutive years of increases. Quality screen vs. raw yield chasers.</t>
  </si>
  <si>
    <t xml:space="preserve">  SATELLITE HOLDINGS  (25% of Portfolio) — Higher-Growth Opportunity</t>
  </si>
  <si>
    <t>VWO</t>
  </si>
  <si>
    <t>Vanguard Emerging Markets ETF</t>
  </si>
  <si>
    <t>Dedicated EM beyond VXUS. GDP growth 2-3x faster than developed markets. Demographic tailwind through 2050+.</t>
  </si>
  <si>
    <t>IJR</t>
  </si>
  <si>
    <t>iShares Core S&amp;P Small-Cap ETF</t>
  </si>
  <si>
    <t>US small-cap factor exposure. Historical premium of +1.5-2% above large-cap over full market cycles.</t>
  </si>
  <si>
    <t>HYG</t>
  </si>
  <si>
    <t>iShares iBoxx High Yield Corp ETF</t>
  </si>
  <si>
    <t>High-yield bond income. Adds 3-4% yield above Treasuries. Limited to 4% to cap credit risk.</t>
  </si>
  <si>
    <t>PDBC</t>
  </si>
  <si>
    <t>Invesco Optimum Yield Commodities ETF</t>
  </si>
  <si>
    <t>Commodities basket (energy, metals, agriculture). Inflation hedge with low equity correlation. K-1 free.</t>
  </si>
  <si>
    <t>IFRA</t>
  </si>
  <si>
    <t>iShares US Infrastructure ETF</t>
  </si>
  <si>
    <t>US infrastructure buildout theme. Bridges equity and real assets. Policy-backed bipartisan tailwind.</t>
  </si>
  <si>
    <t>QQQ</t>
  </si>
  <si>
    <t>Invesco NASDAQ-100 ETF</t>
  </si>
  <si>
    <t>Minimal tech/innovation tilt. Keep below 2% to avoid concentration. Optional tactical position.</t>
  </si>
  <si>
    <t>★  Blended Portfolio Weighted Average Expense Ratio: ~0.09% annually  (vs. industry avg 0.44% for managed portfolios)</t>
  </si>
  <si>
    <t>INCOME LAYER &amp; GROWTH LAYER ARCHITECTURE</t>
  </si>
  <si>
    <t xml:space="preserve">  INCOME LAYER — Passive Cash Flow Generation</t>
  </si>
  <si>
    <t>Fund</t>
  </si>
  <si>
    <t>Est. Yield</t>
  </si>
  <si>
    <t>Annual Income ($375K)</t>
  </si>
  <si>
    <t>Dividend Appreciation ETF</t>
  </si>
  <si>
    <t>Real Estate Index ETF</t>
  </si>
  <si>
    <t>Total Bond Market ETF</t>
  </si>
  <si>
    <t>US TIPS ETF</t>
  </si>
  <si>
    <t>High Yield Corp ETF</t>
  </si>
  <si>
    <t>Total International ETF</t>
  </si>
  <si>
    <t>TOTAL INCOME LAYER</t>
  </si>
  <si>
    <t>Aggregate</t>
  </si>
  <si>
    <t xml:space="preserve">  GROWTH LAYER — Long-Term Capital Appreciation</t>
  </si>
  <si>
    <t>Growth Thesis</t>
  </si>
  <si>
    <t>Key Risk</t>
  </si>
  <si>
    <t>Total Stock Market ETF</t>
  </si>
  <si>
    <t>22%</t>
  </si>
  <si>
    <t>Full US market participation. $1 invested in 1993 → ~$21 by 2025.</t>
  </si>
  <si>
    <t>Market beta; declines with US recessions</t>
  </si>
  <si>
    <t>Emerging Markets ETF</t>
  </si>
  <si>
    <t>6%</t>
  </si>
  <si>
    <t>GDP growth 2-3x faster than developed. Demographic tailwind 2050+.</t>
  </si>
  <si>
    <t>Political/currency risk, EM volatility</t>
  </si>
  <si>
    <t>S&amp;P Small-Cap ETF</t>
  </si>
  <si>
    <t>Historical small-cap premium: +1.5-2% above large-cap over full cycles.</t>
  </si>
  <si>
    <t>Higher volatility vs. large cap</t>
  </si>
  <si>
    <t>US Infrastructure ETF</t>
  </si>
  <si>
    <t>4%</t>
  </si>
  <si>
    <t>Multi-decade infrastructure rebuilding cycle; bipartisan policy support.</t>
  </si>
  <si>
    <t>Interest rate sensitivity</t>
  </si>
  <si>
    <t>NASDAQ-100 ETF</t>
  </si>
  <si>
    <t>1%</t>
  </si>
  <si>
    <t>Technology sector leadership; innovation compounding.</t>
  </si>
  <si>
    <t>Concentration risk if oversized</t>
  </si>
  <si>
    <t>TAX-LOCATION OPTIMIZATION STRATEGY</t>
  </si>
  <si>
    <t xml:space="preserve">  ACCOUNT-LEVEL FUND ASSIGNMENTS</t>
  </si>
  <si>
    <t>Account</t>
  </si>
  <si>
    <t>Primary Holdings</t>
  </si>
  <si>
    <t>Rationale</t>
  </si>
  <si>
    <t>Tax Treatment</t>
  </si>
  <si>
    <t>Priority</t>
  </si>
  <si>
    <t>401(k)</t>
  </si>
  <si>
    <t>BND, HYG, SCHP, IJR</t>
  </si>
  <si>
    <t>Bond interest fully sheltered from ordinary income. High-turnover small-cap also shielded from annual cap gains distributions.</t>
  </si>
  <si>
    <t>Tax-deferred — ordinary income at withdrawal</t>
  </si>
  <si>
    <t>1st — Max out first</t>
  </si>
  <si>
    <t>Roth IRA</t>
  </si>
  <si>
    <t>VWO, IJR, QQQ, IFRA</t>
  </si>
  <si>
    <t>Highest-expected-return assets grow 100% tax-free permanently. No RMDs. Greatest dollar benefit from Roth treatment.</t>
  </si>
  <si>
    <t>Tax-free growth + tax-free withdrawal</t>
  </si>
  <si>
    <t>HSA</t>
  </si>
  <si>
    <t>VTI or VXUS (invested portion)</t>
  </si>
  <si>
    <t>Triple tax advantage: deduct contributions, tax-free growth, tax-free withdrawal for qualifying medical expenses.</t>
  </si>
  <si>
    <t>Triple tax-advantaged</t>
  </si>
  <si>
    <t>1st — Invest surplus</t>
  </si>
  <si>
    <t>Taxable Brokerage</t>
  </si>
  <si>
    <t>VTI, VXUS, VNQ, VIG, PDBC</t>
  </si>
  <si>
    <t>Index ETFs have near-zero capital gain distributions. VXUS qualifies for foreign tax credit. Hold tax-efficient funds only.</t>
  </si>
  <si>
    <t>Long-term cap gains (15-20%) + dividends</t>
  </si>
  <si>
    <t>2nd — After tax-adv.</t>
  </si>
  <si>
    <t xml:space="preserve">  TAX-LOSS HARVESTING (TLH) SWAP TABLE</t>
  </si>
  <si>
    <t>Sell (Loss Position)</t>
  </si>
  <si>
    <t>VTI → Sell</t>
  </si>
  <si>
    <t>ITOT or SCHB</t>
  </si>
  <si>
    <t>Hold substitute 31+ days to avoid wash-sale; swap back if desired</t>
  </si>
  <si>
    <t>VXUS → Sell</t>
  </si>
  <si>
    <t>IXUS or SPDW+VWO</t>
  </si>
  <si>
    <t>International substitute pair; similar global exposure</t>
  </si>
  <si>
    <t>VNQ → Sell</t>
  </si>
  <si>
    <t>IYR or USRT</t>
  </si>
  <si>
    <t>REIT ETF substitutes; near-identical sector and yield profile</t>
  </si>
  <si>
    <t>BND → Sell</t>
  </si>
  <si>
    <t>AGG or SCHZ</t>
  </si>
  <si>
    <t>Aggregate bond alternatives; essentially identical duration + credit</t>
  </si>
  <si>
    <t>REBALANCING RULES &amp; ANNUAL CALENDAR</t>
  </si>
  <si>
    <t xml:space="preserve">  REBALANCING TRIGGER RULES</t>
  </si>
  <si>
    <t>Trigger Type</t>
  </si>
  <si>
    <t>Threshold</t>
  </si>
  <si>
    <t>Action Required</t>
  </si>
  <si>
    <t>Calendar Review</t>
  </si>
  <si>
    <t>Annually (January)</t>
  </si>
  <si>
    <t>Review all weights; rebalance if any fall outside tactical range</t>
  </si>
  <si>
    <t>Routine</t>
  </si>
  <si>
    <t>Major Asset Class Drift</t>
  </si>
  <si>
    <t>±7% from target</t>
  </si>
  <si>
    <t>Mandatory rebalance within 30 days of breach</t>
  </si>
  <si>
    <t>🔴 Mandatory</t>
  </si>
  <si>
    <t>Sub-Asset Class Drift</t>
  </si>
  <si>
    <t>±5% from target</t>
  </si>
  <si>
    <t>Rebalance at next quarterly review</t>
  </si>
  <si>
    <t>🟡 Quarterly</t>
  </si>
  <si>
    <t>New Contributions</t>
  </si>
  <si>
    <t>Every deposit</t>
  </si>
  <si>
    <t>Direct all new cash to underweight positions first — no selling needed</t>
  </si>
  <si>
    <t>🟢 Always</t>
  </si>
  <si>
    <t>Life Event Trigger</t>
  </si>
  <si>
    <t>Major life change</t>
  </si>
  <si>
    <t>Full IPS review: marriage, child, job change, inheritance, disability</t>
  </si>
  <si>
    <t xml:space="preserve">  ANNUAL REBALANCING CALENDAR</t>
  </si>
  <si>
    <t>Month</t>
  </si>
  <si>
    <t>Action</t>
  </si>
  <si>
    <t>Detailed Instructions</t>
  </si>
  <si>
    <t>Accounts</t>
  </si>
  <si>
    <t>January</t>
  </si>
  <si>
    <t>Full Annual Review</t>
  </si>
  <si>
    <t>Review all allocations vs targets. Execute rebalancing trades in tax-advantaged accounts first to minimize taxes. Log decisions.</t>
  </si>
  <si>
    <t>All accounts</t>
  </si>
  <si>
    <t>April</t>
  </si>
  <si>
    <t>Q2 Quarterly Check</t>
  </si>
  <si>
    <t>Check drift only. No trades unless ≥7% breach detected. Confirm Roth IRA contribution has been made for the current tax year.</t>
  </si>
  <si>
    <t>Roth IRA; All</t>
  </si>
  <si>
    <t>July</t>
  </si>
  <si>
    <t>Q3 Quarterly Check</t>
  </si>
  <si>
    <t>Review drift. Assess mid-year performance vs. blended benchmark. Note any sector concentration that has crept above 25%.</t>
  </si>
  <si>
    <t>October</t>
  </si>
  <si>
    <t>Tax-Loss Harvest Window</t>
  </si>
  <si>
    <t>Identify positions with losses ≥10% in taxable account. Execute TLH swaps before Nov 30. Reinvest proceeds in substitute funds.</t>
  </si>
  <si>
    <t>Taxable only</t>
  </si>
  <si>
    <t>December</t>
  </si>
  <si>
    <t>Year-End Planning</t>
  </si>
  <si>
    <t>Confirm 401(k) contribution maximized. Fund Roth IRA if not done. Review beneficiaries. Plan any charitable giving with appreciated lots.</t>
  </si>
  <si>
    <t xml:space="preserve">  REBALANCING EXECUTION ORDER  (always follow this sequence)</t>
  </si>
  <si>
    <t>1.  Redirect new contributions and dividends to underweight asset classes first — no selling needed.</t>
  </si>
  <si>
    <t>2.  Rebalance WITHIN 401(k) and Roth IRA — free trades, zero tax consequences.</t>
  </si>
  <si>
    <t>3.  If taxable rebalancing is required: harvest losses first (TLH), then pare winners only if absolutely needed.</t>
  </si>
  <si>
    <t>4.  Never sell a position in taxable with short-term gain (held &lt;1 year). Wait for long-term capital gains treatment.</t>
  </si>
  <si>
    <t>5.  Document all trades with rationale in a personal investment journal.</t>
  </si>
  <si>
    <t>RISK PROFILE &amp; BENCHMARK TRACKING</t>
  </si>
  <si>
    <t xml:space="preserve">  RISK CAPACITY ASSESSMENT</t>
  </si>
  <si>
    <t>Risk Factor</t>
  </si>
  <si>
    <t>Score</t>
  </si>
  <si>
    <t>Rating</t>
  </si>
  <si>
    <t>Commentary</t>
  </si>
  <si>
    <t>Time Horizon (30+ years)</t>
  </si>
  <si>
    <t>10/10</t>
  </si>
  <si>
    <t>Excellent</t>
  </si>
  <si>
    <t>Maximum possible score — 30 years allows full market cycle recovery</t>
  </si>
  <si>
    <t>Human Capital (career ahead)</t>
  </si>
  <si>
    <t>9/10</t>
  </si>
  <si>
    <t>Majority of lifetime earnings still ahead — can recover from portfolio losses</t>
  </si>
  <si>
    <t>Asset Base ($250K-$500K)</t>
  </si>
  <si>
    <t>6/10</t>
  </si>
  <si>
    <t>Good</t>
  </si>
  <si>
    <t>Meaningful base, but early losses have outsized psychological impact</t>
  </si>
  <si>
    <t>Income Stability (employment)</t>
  </si>
  <si>
    <t>7/10</t>
  </si>
  <si>
    <t>Assumed stable employment with capacity for ongoing contributions</t>
  </si>
  <si>
    <t>Liquidity Need (modest income req)</t>
  </si>
  <si>
    <t>8/10</t>
  </si>
  <si>
    <t>Strong</t>
  </si>
  <si>
    <t>Modest income requirement allows most assets to remain in growth mode</t>
  </si>
  <si>
    <t>COMPOSITE RISK CAPACITY</t>
  </si>
  <si>
    <t>8.0/10</t>
  </si>
  <si>
    <t>HIGH</t>
  </si>
  <si>
    <t>Supports aggressive-to-balanced allocation — 72% risk assets appropriate</t>
  </si>
  <si>
    <t xml:space="preserve">  SCENARIO STRESS TESTS</t>
  </si>
  <si>
    <t>Scenario</t>
  </si>
  <si>
    <t>Est. Portfolio Impact</t>
  </si>
  <si>
    <t>Protection Mechanism</t>
  </si>
  <si>
    <t>Severity</t>
  </si>
  <si>
    <t>Global Equity Crash (-40%)</t>
  </si>
  <si>
    <t>-23% to -28%</t>
  </si>
  <si>
    <t>16% bonds + 8% REITs + alternatives buffer loss</t>
  </si>
  <si>
    <t>High</t>
  </si>
  <si>
    <t>US Recession / Bear Market (-35%)</t>
  </si>
  <si>
    <t>-18% to -22%</t>
  </si>
  <si>
    <t>International diversification (28%) partially decouples</t>
  </si>
  <si>
    <t>Stagflation (high CPI, low growth)</t>
  </si>
  <si>
    <t>-5% to -8%</t>
  </si>
  <si>
    <t>TIPS (4%) + Commodities (4%) + REITs (8%) provide hedge</t>
  </si>
  <si>
    <t>Medium</t>
  </si>
  <si>
    <t>Emerging Market Crisis (-50% EM)</t>
  </si>
  <si>
    <t>EM capped at 16%; developed markets remain functional</t>
  </si>
  <si>
    <t>Rising Interest Rates (+2%)</t>
  </si>
  <si>
    <t>-6% to -10%</t>
  </si>
  <si>
    <t>Short-to-intermediate duration; TIPS adjust with CPI</t>
  </si>
  <si>
    <t xml:space="preserve">  BENCHMARK COMPOSITION &amp; PERFORMANCE METRICS</t>
  </si>
  <si>
    <t>Benchmark Index</t>
  </si>
  <si>
    <t>Weight</t>
  </si>
  <si>
    <t>Tracks</t>
  </si>
  <si>
    <t>KPI Target</t>
  </si>
  <si>
    <t>MSCI ACWI Index</t>
  </si>
  <si>
    <t>40%</t>
  </si>
  <si>
    <t>Global equities — US + International</t>
  </si>
  <si>
    <t>Annual return within ±2% of benchmark</t>
  </si>
  <si>
    <t>Russell 3000 Index</t>
  </si>
  <si>
    <t>20%</t>
  </si>
  <si>
    <t>Total US equity market</t>
  </si>
  <si>
    <t>3-yr rolling Sharpe Ratio &gt; 0.50</t>
  </si>
  <si>
    <t>Bloomberg US Aggregate Bond Index</t>
  </si>
  <si>
    <t>16%</t>
  </si>
  <si>
    <t>US investment-grade bonds</t>
  </si>
  <si>
    <t>Blended expense ratio &lt; 0.15%</t>
  </si>
  <si>
    <t>FTSE NAREIT All REITs Index</t>
  </si>
  <si>
    <t>8%</t>
  </si>
  <si>
    <t>US real estate investment trusts</t>
  </si>
  <si>
    <t>Annual income &gt; $2,500</t>
  </si>
  <si>
    <t>Bloomberg Commodity Index</t>
  </si>
  <si>
    <t>Diversified commodities</t>
  </si>
  <si>
    <t>Max drawdown within ±5% of benchmark</t>
  </si>
  <si>
    <t>MSCI Emerging Markets Index</t>
  </si>
  <si>
    <t>Emerging market equities</t>
  </si>
  <si>
    <t>No single sector &gt; 25%</t>
  </si>
  <si>
    <t>COMPOSITE BENCHMARK</t>
  </si>
  <si>
    <t>100%</t>
  </si>
  <si>
    <t>Blended, rebalanced annually</t>
  </si>
  <si>
    <t>Primary performance yardstick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</si>
</sst>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8"/>
      <color rgb="FF003366"/>
      <name val="Arial"/>
    </font>
    <font>
      <b/>
      <sz val="13"/>
      <color rgb="FFC9A84C"/>
      <name val="Arial"/>
    </font>
    <font>
      <b/>
      <sz val="12"/>
      <color rgb="FFFFFFFF"/>
      <name val="Arial"/>
    </font>
    <font>
      <b/>
      <sz val="10"/>
      <color rgb="FF003366"/>
      <name val="Arial"/>
    </font>
    <font>
      <sz val="10"/>
      <color rgb="FF333333"/>
      <name val="Arial"/>
    </font>
    <font>
      <b/>
      <sz val="10"/>
      <color rgb="FFFFFFFF"/>
      <name val="Arial"/>
    </font>
    <font>
      <b/>
      <sz val="10"/>
      <color rgb="FF333333"/>
      <name val="Arial"/>
    </font>
    <font>
      <i/>
      <sz val="9"/>
      <color rgb="FF666666"/>
      <name val="Arial"/>
    </font>
    <font>
      <b/>
      <sz val="14"/>
      <color rgb="FF003366"/>
      <name val="Arial"/>
    </font>
    <font>
      <b/>
      <sz val="10"/>
      <color rgb="FFBF8F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3366"/>
      </patternFill>
    </fill>
    <fill>
      <patternFill patternType="solid">
        <fgColor rgb="FFD6E4F0"/>
      </patternFill>
    </fill>
    <fill>
      <patternFill patternType="solid">
        <fgColor rgb="FFF5F7FA"/>
      </patternFill>
    </fill>
    <fill>
      <patternFill patternType="solid">
        <fgColor rgb="FF2E5F8A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C9A84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C9A84C"/>
      </top>
      <bottom style="medium">
        <color rgb="FFC9A84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165" fontId="4" fillId="4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165" fontId="5" fillId="2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165" fontId="5" fillId="5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165" fontId="5" fillId="5" borderId="2" xfId="0" applyNumberFormat="1" applyFont="1" applyFill="1" applyBorder="1" applyAlignment="1">
      <alignment horizontal="center" vertical="center" wrapText="1"/>
    </xf>
    <xf numFmtId="10" fontId="5" fillId="5" borderId="2" xfId="0" applyNumberFormat="1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65" fontId="5" fillId="2" borderId="2" xfId="0" applyNumberFormat="1" applyFont="1" applyFill="1" applyBorder="1" applyAlignment="1">
      <alignment horizontal="center" vertical="center" wrapText="1"/>
    </xf>
    <xf numFmtId="10" fontId="5" fillId="2" borderId="2" xfId="0" applyNumberFormat="1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0" fillId="7" borderId="3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/>
    </xf>
    <xf numFmtId="0" fontId="0" fillId="0" borderId="4" xfId="0" applyBorder="1"/>
    <xf numFmtId="0" fontId="5" fillId="8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Asset Allocation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'📐 Asset Allocation'!$I$10:$I$13</c:f>
              <c:strCache>
                <c:ptCount val="4"/>
                <c:pt idx="0">
                  <c:v>Equities 68%</c:v>
                </c:pt>
                <c:pt idx="1">
                  <c:v>Fixed Income 16%</c:v>
                </c:pt>
                <c:pt idx="2">
                  <c:v>Real Estate 8%</c:v>
                </c:pt>
                <c:pt idx="3">
                  <c:v>Alternatives 8%</c:v>
                </c:pt>
              </c:strCache>
            </c:strRef>
          </c:cat>
          <c:val>
            <c:numRef>
              <c:f>'📐 Asset Allocation'!$J$10:$J$13</c:f>
              <c:numCache>
                <c:formatCode>General</c:formatCode>
                <c:ptCount val="4"/>
                <c:pt idx="0">
                  <c:v>0.68</c:v>
                </c:pt>
                <c:pt idx="1">
                  <c:v>0.16</c:v>
                </c:pt>
                <c:pt idx="2">
                  <c:v>0.08</c:v>
                </c:pt>
                <c:pt idx="3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3-6248-AC80-05BD8B945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24</xdr:row>
      <xdr:rowOff>0</xdr:rowOff>
    </xdr:from>
    <xdr:ext cx="50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4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28" customWidth="1"/>
    <col min="3" max="3" width="16" customWidth="1"/>
    <col min="4" max="8" width="14" customWidth="1"/>
    <col min="9" max="9" width="2" customWidth="1"/>
  </cols>
  <sheetData>
    <row r="1" spans="2:8" ht="10" customHeight="1" x14ac:dyDescent="0.2">
      <c r="B1" s="36"/>
      <c r="C1" s="36"/>
      <c r="D1" s="36"/>
      <c r="E1" s="36"/>
      <c r="F1" s="36"/>
      <c r="G1" s="36"/>
      <c r="H1" s="36"/>
    </row>
    <row r="2" spans="2:8" ht="30" customHeight="1" x14ac:dyDescent="0.2">
      <c r="B2" s="41" t="s">
        <v>0</v>
      </c>
      <c r="C2" s="36"/>
      <c r="D2" s="36"/>
      <c r="E2" s="36"/>
      <c r="F2" s="36"/>
      <c r="G2" s="36"/>
      <c r="H2" s="36"/>
    </row>
    <row r="3" spans="2:8" ht="20" customHeight="1" x14ac:dyDescent="0.2">
      <c r="B3" s="40" t="s">
        <v>1</v>
      </c>
      <c r="C3" s="36"/>
      <c r="D3" s="36"/>
      <c r="E3" s="36"/>
      <c r="F3" s="36"/>
      <c r="G3" s="36"/>
      <c r="H3" s="36"/>
    </row>
    <row r="4" spans="2:8" ht="8" customHeight="1" x14ac:dyDescent="0.2"/>
    <row r="5" spans="2:8" ht="22" customHeight="1" x14ac:dyDescent="0.2">
      <c r="B5" s="37" t="s">
        <v>2</v>
      </c>
      <c r="C5" s="36"/>
      <c r="D5" s="36"/>
      <c r="E5" s="36"/>
      <c r="F5" s="36"/>
      <c r="G5" s="36"/>
      <c r="H5" s="36"/>
    </row>
    <row r="6" spans="2:8" ht="16" customHeight="1" x14ac:dyDescent="0.2">
      <c r="B6" s="35" t="s">
        <v>3</v>
      </c>
      <c r="C6" s="36"/>
      <c r="D6" s="36"/>
      <c r="E6" s="39" t="s">
        <v>4</v>
      </c>
      <c r="F6" s="36"/>
      <c r="G6" s="36"/>
      <c r="H6" s="36"/>
    </row>
    <row r="7" spans="2:8" ht="16" customHeight="1" x14ac:dyDescent="0.2">
      <c r="B7" s="35" t="s">
        <v>5</v>
      </c>
      <c r="C7" s="36"/>
      <c r="D7" s="36"/>
      <c r="E7" s="38" t="s">
        <v>6</v>
      </c>
      <c r="F7" s="36"/>
      <c r="G7" s="36"/>
      <c r="H7" s="36"/>
    </row>
    <row r="8" spans="2:8" ht="16" customHeight="1" x14ac:dyDescent="0.2">
      <c r="B8" s="35" t="s">
        <v>7</v>
      </c>
      <c r="C8" s="36"/>
      <c r="D8" s="36"/>
      <c r="E8" s="39" t="s">
        <v>8</v>
      </c>
      <c r="F8" s="36"/>
      <c r="G8" s="36"/>
      <c r="H8" s="36"/>
    </row>
    <row r="9" spans="2:8" ht="16" customHeight="1" x14ac:dyDescent="0.2">
      <c r="B9" s="35" t="s">
        <v>9</v>
      </c>
      <c r="C9" s="36"/>
      <c r="D9" s="36"/>
      <c r="E9" s="38" t="s">
        <v>10</v>
      </c>
      <c r="F9" s="36"/>
      <c r="G9" s="36"/>
      <c r="H9" s="36"/>
    </row>
    <row r="10" spans="2:8" ht="16" customHeight="1" x14ac:dyDescent="0.2">
      <c r="B10" s="35" t="s">
        <v>11</v>
      </c>
      <c r="C10" s="36"/>
      <c r="D10" s="36"/>
      <c r="E10" s="39" t="s">
        <v>12</v>
      </c>
      <c r="F10" s="36"/>
      <c r="G10" s="36"/>
      <c r="H10" s="36"/>
    </row>
    <row r="11" spans="2:8" ht="16" customHeight="1" x14ac:dyDescent="0.2">
      <c r="B11" s="35" t="s">
        <v>13</v>
      </c>
      <c r="C11" s="36"/>
      <c r="D11" s="36"/>
      <c r="E11" s="38" t="s">
        <v>14</v>
      </c>
      <c r="F11" s="36"/>
      <c r="G11" s="36"/>
      <c r="H11" s="36"/>
    </row>
    <row r="12" spans="2:8" ht="16" customHeight="1" x14ac:dyDescent="0.2">
      <c r="B12" s="35" t="s">
        <v>15</v>
      </c>
      <c r="C12" s="36"/>
      <c r="D12" s="36"/>
      <c r="E12" s="39" t="s">
        <v>16</v>
      </c>
      <c r="F12" s="36"/>
      <c r="G12" s="36"/>
      <c r="H12" s="36"/>
    </row>
    <row r="13" spans="2:8" ht="16" customHeight="1" x14ac:dyDescent="0.2">
      <c r="B13" s="35" t="s">
        <v>17</v>
      </c>
      <c r="C13" s="36"/>
      <c r="D13" s="36"/>
      <c r="E13" s="38" t="s">
        <v>18</v>
      </c>
      <c r="F13" s="36"/>
      <c r="G13" s="36"/>
      <c r="H13" s="36"/>
    </row>
    <row r="14" spans="2:8" ht="16" customHeight="1" x14ac:dyDescent="0.2">
      <c r="B14" s="35" t="s">
        <v>19</v>
      </c>
      <c r="C14" s="36"/>
      <c r="D14" s="36"/>
      <c r="E14" s="39" t="s">
        <v>20</v>
      </c>
      <c r="F14" s="36"/>
      <c r="G14" s="36"/>
      <c r="H14" s="36"/>
    </row>
    <row r="15" spans="2:8" ht="8" customHeight="1" x14ac:dyDescent="0.2">
      <c r="B15" s="36"/>
      <c r="C15" s="36"/>
      <c r="D15" s="36"/>
      <c r="E15" s="36"/>
      <c r="F15" s="36"/>
      <c r="G15" s="36"/>
      <c r="H15" s="36"/>
    </row>
    <row r="16" spans="2:8" ht="22" customHeight="1" x14ac:dyDescent="0.2">
      <c r="B16" s="37" t="s">
        <v>21</v>
      </c>
      <c r="C16" s="36"/>
      <c r="D16" s="36"/>
      <c r="E16" s="36"/>
      <c r="F16" s="36"/>
      <c r="G16" s="36"/>
      <c r="H16" s="36"/>
    </row>
    <row r="17" spans="2:8" ht="16" customHeight="1" x14ac:dyDescent="0.2">
      <c r="B17" s="35" t="s">
        <v>22</v>
      </c>
      <c r="C17" s="36"/>
      <c r="D17" s="36"/>
      <c r="E17" s="39" t="s">
        <v>23</v>
      </c>
      <c r="F17" s="36"/>
      <c r="G17" s="36"/>
      <c r="H17" s="36"/>
    </row>
    <row r="18" spans="2:8" ht="16" customHeight="1" x14ac:dyDescent="0.2">
      <c r="B18" s="35" t="s">
        <v>24</v>
      </c>
      <c r="C18" s="36"/>
      <c r="D18" s="36"/>
      <c r="E18" s="38" t="s">
        <v>25</v>
      </c>
      <c r="F18" s="36"/>
      <c r="G18" s="36"/>
      <c r="H18" s="36"/>
    </row>
    <row r="19" spans="2:8" ht="16" customHeight="1" x14ac:dyDescent="0.2">
      <c r="B19" s="35" t="s">
        <v>26</v>
      </c>
      <c r="C19" s="36"/>
      <c r="D19" s="36"/>
      <c r="E19" s="39" t="s">
        <v>27</v>
      </c>
      <c r="F19" s="36"/>
      <c r="G19" s="36"/>
      <c r="H19" s="36"/>
    </row>
    <row r="20" spans="2:8" ht="16" customHeight="1" x14ac:dyDescent="0.2">
      <c r="B20" s="35" t="s">
        <v>28</v>
      </c>
      <c r="C20" s="36"/>
      <c r="D20" s="36"/>
      <c r="E20" s="38" t="s">
        <v>29</v>
      </c>
      <c r="F20" s="36"/>
      <c r="G20" s="36"/>
      <c r="H20" s="36"/>
    </row>
    <row r="21" spans="2:8" ht="16" customHeight="1" x14ac:dyDescent="0.2">
      <c r="B21" s="35" t="s">
        <v>30</v>
      </c>
      <c r="C21" s="36"/>
      <c r="D21" s="36"/>
      <c r="E21" s="39" t="s">
        <v>31</v>
      </c>
      <c r="F21" s="36"/>
      <c r="G21" s="36"/>
      <c r="H21" s="36"/>
    </row>
    <row r="22" spans="2:8" ht="16" customHeight="1" x14ac:dyDescent="0.2">
      <c r="B22" s="35" t="s">
        <v>32</v>
      </c>
      <c r="C22" s="36"/>
      <c r="D22" s="36"/>
      <c r="E22" s="38" t="s">
        <v>33</v>
      </c>
      <c r="F22" s="36"/>
      <c r="G22" s="36"/>
      <c r="H22" s="36"/>
    </row>
    <row r="23" spans="2:8" ht="8" customHeight="1" x14ac:dyDescent="0.2">
      <c r="B23" s="36"/>
      <c r="C23" s="36"/>
      <c r="D23" s="36"/>
      <c r="E23" s="36"/>
      <c r="F23" s="36"/>
      <c r="G23" s="36"/>
      <c r="H23" s="36"/>
    </row>
    <row r="24" spans="2:8" ht="22" customHeight="1" x14ac:dyDescent="0.2">
      <c r="B24" s="37" t="s">
        <v>34</v>
      </c>
      <c r="C24" s="36"/>
      <c r="D24" s="36"/>
      <c r="E24" s="36"/>
      <c r="F24" s="36"/>
      <c r="G24" s="36"/>
      <c r="H24" s="36"/>
    </row>
    <row r="25" spans="2:8" ht="16" customHeight="1" x14ac:dyDescent="0.2">
      <c r="B25" s="4" t="s">
        <v>35</v>
      </c>
      <c r="C25" s="4" t="s">
        <v>36</v>
      </c>
      <c r="D25" s="4" t="s">
        <v>37</v>
      </c>
      <c r="E25" s="4" t="s">
        <v>38</v>
      </c>
      <c r="F25" s="4" t="s">
        <v>39</v>
      </c>
    </row>
    <row r="26" spans="2:8" ht="15" customHeight="1" x14ac:dyDescent="0.2">
      <c r="B26" s="2" t="s">
        <v>40</v>
      </c>
      <c r="C26" s="5">
        <v>0</v>
      </c>
      <c r="D26" s="5">
        <v>35</v>
      </c>
      <c r="E26" s="6">
        <v>375000</v>
      </c>
      <c r="F26" s="6">
        <v>0</v>
      </c>
    </row>
    <row r="27" spans="2:8" ht="15" customHeight="1" x14ac:dyDescent="0.2">
      <c r="B27" s="3" t="s">
        <v>41</v>
      </c>
      <c r="C27" s="7">
        <v>5</v>
      </c>
      <c r="D27" s="7">
        <v>40</v>
      </c>
      <c r="E27" s="8">
        <v>538000</v>
      </c>
      <c r="F27" s="8">
        <v>163000</v>
      </c>
    </row>
    <row r="28" spans="2:8" ht="15" customHeight="1" x14ac:dyDescent="0.2">
      <c r="B28" s="2" t="s">
        <v>42</v>
      </c>
      <c r="C28" s="5">
        <v>10</v>
      </c>
      <c r="D28" s="5">
        <v>45</v>
      </c>
      <c r="E28" s="6">
        <v>771000</v>
      </c>
      <c r="F28" s="6">
        <v>396000</v>
      </c>
    </row>
    <row r="29" spans="2:8" ht="15" customHeight="1" x14ac:dyDescent="0.2">
      <c r="B29" s="3" t="s">
        <v>43</v>
      </c>
      <c r="C29" s="7">
        <v>15</v>
      </c>
      <c r="D29" s="7">
        <v>50</v>
      </c>
      <c r="E29" s="8">
        <v>1105000</v>
      </c>
      <c r="F29" s="8">
        <v>730000</v>
      </c>
    </row>
    <row r="30" spans="2:8" ht="15" customHeight="1" x14ac:dyDescent="0.2">
      <c r="B30" s="2" t="s">
        <v>44</v>
      </c>
      <c r="C30" s="5">
        <v>20</v>
      </c>
      <c r="D30" s="5">
        <v>55</v>
      </c>
      <c r="E30" s="6">
        <v>1585000</v>
      </c>
      <c r="F30" s="6">
        <v>1210000</v>
      </c>
    </row>
    <row r="31" spans="2:8" ht="15" customHeight="1" x14ac:dyDescent="0.2">
      <c r="B31" s="3" t="s">
        <v>45</v>
      </c>
      <c r="C31" s="7">
        <v>25</v>
      </c>
      <c r="D31" s="7">
        <v>60</v>
      </c>
      <c r="E31" s="8">
        <v>2273000</v>
      </c>
      <c r="F31" s="8">
        <v>1898000</v>
      </c>
    </row>
    <row r="32" spans="2:8" ht="15" customHeight="1" x14ac:dyDescent="0.2">
      <c r="B32" s="9" t="s">
        <v>46</v>
      </c>
      <c r="C32" s="10">
        <v>30</v>
      </c>
      <c r="D32" s="10">
        <v>65</v>
      </c>
      <c r="E32" s="11">
        <v>3257000</v>
      </c>
      <c r="F32" s="11">
        <v>2882000</v>
      </c>
    </row>
    <row r="34" spans="2:8" ht="20" customHeight="1" x14ac:dyDescent="0.2">
      <c r="B34" s="42" t="s">
        <v>47</v>
      </c>
      <c r="C34" s="36"/>
      <c r="D34" s="36"/>
      <c r="E34" s="36"/>
      <c r="F34" s="36"/>
      <c r="G34" s="36"/>
      <c r="H34" s="36"/>
    </row>
  </sheetData>
  <mergeCells count="39">
    <mergeCell ref="B34:H34"/>
    <mergeCell ref="B1:H1"/>
    <mergeCell ref="B22:D22"/>
    <mergeCell ref="E6:H6"/>
    <mergeCell ref="B18:D18"/>
    <mergeCell ref="B21:D21"/>
    <mergeCell ref="B12:D12"/>
    <mergeCell ref="E11:H11"/>
    <mergeCell ref="B2:H2"/>
    <mergeCell ref="E19:H19"/>
    <mergeCell ref="B7:D7"/>
    <mergeCell ref="E10:H10"/>
    <mergeCell ref="E13:H13"/>
    <mergeCell ref="E9:H9"/>
    <mergeCell ref="B3:H3"/>
    <mergeCell ref="B6:D6"/>
    <mergeCell ref="B20:D20"/>
    <mergeCell ref="E14:H14"/>
    <mergeCell ref="E17:H17"/>
    <mergeCell ref="E8:H8"/>
    <mergeCell ref="E20:H20"/>
    <mergeCell ref="B24:H24"/>
    <mergeCell ref="E7:H7"/>
    <mergeCell ref="B15:H15"/>
    <mergeCell ref="B5:H5"/>
    <mergeCell ref="E22:H22"/>
    <mergeCell ref="B10:D10"/>
    <mergeCell ref="B19:D19"/>
    <mergeCell ref="E18:H18"/>
    <mergeCell ref="E12:H12"/>
    <mergeCell ref="E21:H21"/>
    <mergeCell ref="B9:D9"/>
    <mergeCell ref="B16:H16"/>
    <mergeCell ref="B23:H23"/>
    <mergeCell ref="B11:D11"/>
    <mergeCell ref="B14:D14"/>
    <mergeCell ref="B8:D8"/>
    <mergeCell ref="B17:D17"/>
    <mergeCell ref="B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2"/>
  <sheetViews>
    <sheetView showGridLines="0" workbookViewId="0">
      <selection activeCell="F6" sqref="F6"/>
    </sheetView>
  </sheetViews>
  <sheetFormatPr baseColWidth="10" defaultColWidth="8.83203125" defaultRowHeight="15" x14ac:dyDescent="0.2"/>
  <cols>
    <col min="1" max="1" width="2" customWidth="1"/>
    <col min="2" max="2" width="30" customWidth="1"/>
    <col min="3" max="5" width="12" customWidth="1"/>
    <col min="6" max="6" width="20.5" customWidth="1"/>
    <col min="7" max="7" width="25.1640625" bestFit="1" customWidth="1"/>
    <col min="8" max="8" width="2" customWidth="1"/>
  </cols>
  <sheetData>
    <row r="1" spans="2:10" ht="8" customHeight="1" x14ac:dyDescent="0.2">
      <c r="B1" s="36"/>
      <c r="C1" s="36"/>
      <c r="D1" s="36"/>
      <c r="E1" s="36"/>
      <c r="F1" s="36"/>
      <c r="G1" s="36"/>
    </row>
    <row r="2" spans="2:10" ht="26" customHeight="1" x14ac:dyDescent="0.2">
      <c r="B2" s="43" t="s">
        <v>48</v>
      </c>
      <c r="C2" s="36"/>
      <c r="D2" s="36"/>
      <c r="E2" s="36"/>
      <c r="F2" s="36"/>
      <c r="G2" s="36"/>
    </row>
    <row r="3" spans="2:10" ht="8" customHeight="1" x14ac:dyDescent="0.2"/>
    <row r="4" spans="2:10" ht="22" customHeight="1" x14ac:dyDescent="0.2">
      <c r="B4" s="37" t="s">
        <v>49</v>
      </c>
      <c r="C4" s="36"/>
      <c r="D4" s="36"/>
      <c r="E4" s="36"/>
      <c r="F4" s="36"/>
      <c r="G4" s="36"/>
    </row>
    <row r="5" spans="2:10" ht="18" customHeight="1" x14ac:dyDescent="0.2">
      <c r="B5" s="12" t="s">
        <v>50</v>
      </c>
      <c r="C5" s="12" t="s">
        <v>51</v>
      </c>
      <c r="D5" s="12" t="s">
        <v>52</v>
      </c>
      <c r="E5" s="12" t="s">
        <v>53</v>
      </c>
      <c r="F5" s="12" t="s">
        <v>54</v>
      </c>
      <c r="G5" s="12" t="s">
        <v>55</v>
      </c>
    </row>
    <row r="6" spans="2:10" ht="16" customHeight="1" x14ac:dyDescent="0.2">
      <c r="B6" s="13" t="s">
        <v>56</v>
      </c>
      <c r="C6" s="14">
        <v>0.68</v>
      </c>
      <c r="D6" s="14">
        <v>0.6</v>
      </c>
      <c r="E6" s="14">
        <v>0.75</v>
      </c>
      <c r="F6" s="15" t="e">
        <f t="shared" ref="F6:F21" si="0">B6*375000</f>
        <v>#VALUE!</v>
      </c>
      <c r="G6" s="13" t="s">
        <v>57</v>
      </c>
    </row>
    <row r="7" spans="2:10" ht="16" customHeight="1" x14ac:dyDescent="0.2">
      <c r="B7" s="16" t="s">
        <v>58</v>
      </c>
      <c r="C7" s="17">
        <v>0.22</v>
      </c>
      <c r="D7" s="17">
        <v>0.18</v>
      </c>
      <c r="E7" s="17">
        <v>0.28000000000000003</v>
      </c>
      <c r="F7" s="8" t="e">
        <f t="shared" si="0"/>
        <v>#VALUE!</v>
      </c>
      <c r="G7" s="16" t="s">
        <v>59</v>
      </c>
    </row>
    <row r="8" spans="2:10" ht="16" customHeight="1" x14ac:dyDescent="0.2">
      <c r="B8" s="18" t="s">
        <v>60</v>
      </c>
      <c r="C8" s="19">
        <v>0.06</v>
      </c>
      <c r="D8" s="19">
        <v>0.04</v>
      </c>
      <c r="E8" s="19">
        <v>0.09</v>
      </c>
      <c r="F8" s="6" t="e">
        <f t="shared" si="0"/>
        <v>#VALUE!</v>
      </c>
      <c r="G8" s="18" t="s">
        <v>61</v>
      </c>
    </row>
    <row r="9" spans="2:10" ht="16" customHeight="1" x14ac:dyDescent="0.2">
      <c r="B9" s="16" t="s">
        <v>62</v>
      </c>
      <c r="C9" s="17">
        <v>0.18</v>
      </c>
      <c r="D9" s="17">
        <v>0.13</v>
      </c>
      <c r="E9" s="17">
        <v>0.23</v>
      </c>
      <c r="F9" s="8" t="e">
        <f t="shared" si="0"/>
        <v>#VALUE!</v>
      </c>
      <c r="G9" s="16" t="s">
        <v>63</v>
      </c>
    </row>
    <row r="10" spans="2:10" ht="16" customHeight="1" x14ac:dyDescent="0.2">
      <c r="B10" s="18" t="s">
        <v>64</v>
      </c>
      <c r="C10" s="19">
        <v>0.1</v>
      </c>
      <c r="D10" s="19">
        <v>0.06</v>
      </c>
      <c r="E10" s="19">
        <v>0.14000000000000001</v>
      </c>
      <c r="F10" s="6" t="e">
        <f t="shared" si="0"/>
        <v>#VALUE!</v>
      </c>
      <c r="G10" s="18" t="s">
        <v>65</v>
      </c>
      <c r="I10" t="s">
        <v>66</v>
      </c>
      <c r="J10">
        <v>0.68</v>
      </c>
    </row>
    <row r="11" spans="2:10" ht="16" customHeight="1" x14ac:dyDescent="0.2">
      <c r="B11" s="16" t="s">
        <v>67</v>
      </c>
      <c r="C11" s="17">
        <v>0.04</v>
      </c>
      <c r="D11" s="17">
        <v>0.02</v>
      </c>
      <c r="E11" s="17">
        <v>7.0000000000000007E-2</v>
      </c>
      <c r="F11" s="8" t="e">
        <f t="shared" si="0"/>
        <v>#VALUE!</v>
      </c>
      <c r="G11" s="16" t="s">
        <v>68</v>
      </c>
      <c r="I11" t="s">
        <v>69</v>
      </c>
      <c r="J11">
        <v>0.16</v>
      </c>
    </row>
    <row r="12" spans="2:10" ht="16" customHeight="1" x14ac:dyDescent="0.2">
      <c r="B12" s="18" t="s">
        <v>70</v>
      </c>
      <c r="C12" s="19">
        <v>0.01</v>
      </c>
      <c r="D12" s="19">
        <v>0</v>
      </c>
      <c r="E12" s="19">
        <v>0.02</v>
      </c>
      <c r="F12" s="6" t="e">
        <f t="shared" si="0"/>
        <v>#VALUE!</v>
      </c>
      <c r="G12" s="18" t="s">
        <v>71</v>
      </c>
      <c r="I12" t="s">
        <v>72</v>
      </c>
      <c r="J12">
        <v>0.08</v>
      </c>
    </row>
    <row r="13" spans="2:10" ht="16" customHeight="1" x14ac:dyDescent="0.2">
      <c r="B13" s="16" t="s">
        <v>73</v>
      </c>
      <c r="C13" s="17">
        <v>7.0000000000000007E-2</v>
      </c>
      <c r="D13" s="17">
        <v>0.04</v>
      </c>
      <c r="E13" s="17">
        <v>0.1</v>
      </c>
      <c r="F13" s="8" t="e">
        <f t="shared" si="0"/>
        <v>#VALUE!</v>
      </c>
      <c r="G13" s="16" t="s">
        <v>74</v>
      </c>
      <c r="I13" t="s">
        <v>75</v>
      </c>
      <c r="J13">
        <v>0.08</v>
      </c>
    </row>
    <row r="14" spans="2:10" ht="16" customHeight="1" x14ac:dyDescent="0.2">
      <c r="B14" s="13" t="s">
        <v>76</v>
      </c>
      <c r="C14" s="14">
        <v>0.16</v>
      </c>
      <c r="D14" s="14">
        <v>0.1</v>
      </c>
      <c r="E14" s="14">
        <v>0.22</v>
      </c>
      <c r="F14" s="15" t="e">
        <f t="shared" si="0"/>
        <v>#VALUE!</v>
      </c>
      <c r="G14" s="13" t="s">
        <v>77</v>
      </c>
    </row>
    <row r="15" spans="2:10" ht="16" customHeight="1" x14ac:dyDescent="0.2">
      <c r="B15" s="16" t="s">
        <v>78</v>
      </c>
      <c r="C15" s="17">
        <v>0.08</v>
      </c>
      <c r="D15" s="17">
        <v>0.05</v>
      </c>
      <c r="E15" s="17">
        <v>0.12</v>
      </c>
      <c r="F15" s="8" t="e">
        <f t="shared" si="0"/>
        <v>#VALUE!</v>
      </c>
      <c r="G15" s="16" t="s">
        <v>79</v>
      </c>
    </row>
    <row r="16" spans="2:10" ht="16" customHeight="1" x14ac:dyDescent="0.2">
      <c r="B16" s="18" t="s">
        <v>80</v>
      </c>
      <c r="C16" s="19">
        <v>0.04</v>
      </c>
      <c r="D16" s="19">
        <v>0.02</v>
      </c>
      <c r="E16" s="19">
        <v>0.06</v>
      </c>
      <c r="F16" s="6" t="e">
        <f t="shared" si="0"/>
        <v>#VALUE!</v>
      </c>
      <c r="G16" s="18" t="s">
        <v>81</v>
      </c>
    </row>
    <row r="17" spans="2:7" ht="16" customHeight="1" x14ac:dyDescent="0.2">
      <c r="B17" s="16" t="s">
        <v>82</v>
      </c>
      <c r="C17" s="17">
        <v>0.04</v>
      </c>
      <c r="D17" s="17">
        <v>0.02</v>
      </c>
      <c r="E17" s="17">
        <v>0.06</v>
      </c>
      <c r="F17" s="8" t="e">
        <f t="shared" si="0"/>
        <v>#VALUE!</v>
      </c>
      <c r="G17" s="16" t="s">
        <v>83</v>
      </c>
    </row>
    <row r="18" spans="2:7" ht="16" customHeight="1" x14ac:dyDescent="0.2">
      <c r="B18" s="13" t="s">
        <v>84</v>
      </c>
      <c r="C18" s="14">
        <v>0.08</v>
      </c>
      <c r="D18" s="14">
        <v>0.04</v>
      </c>
      <c r="E18" s="14">
        <v>0.12</v>
      </c>
      <c r="F18" s="15" t="e">
        <f t="shared" si="0"/>
        <v>#VALUE!</v>
      </c>
      <c r="G18" s="13" t="s">
        <v>85</v>
      </c>
    </row>
    <row r="19" spans="2:7" ht="16" customHeight="1" x14ac:dyDescent="0.2">
      <c r="B19" s="13" t="s">
        <v>86</v>
      </c>
      <c r="C19" s="14">
        <v>0.08</v>
      </c>
      <c r="D19" s="14">
        <v>0.04</v>
      </c>
      <c r="E19" s="14">
        <v>0.12</v>
      </c>
      <c r="F19" s="15" t="e">
        <f t="shared" si="0"/>
        <v>#VALUE!</v>
      </c>
      <c r="G19" s="13" t="s">
        <v>87</v>
      </c>
    </row>
    <row r="20" spans="2:7" ht="16" customHeight="1" x14ac:dyDescent="0.2">
      <c r="B20" s="18" t="s">
        <v>88</v>
      </c>
      <c r="C20" s="19">
        <v>0.04</v>
      </c>
      <c r="D20" s="19">
        <v>0.02</v>
      </c>
      <c r="E20" s="19">
        <v>0.06</v>
      </c>
      <c r="F20" s="6" t="e">
        <f t="shared" si="0"/>
        <v>#VALUE!</v>
      </c>
      <c r="G20" s="18" t="s">
        <v>89</v>
      </c>
    </row>
    <row r="21" spans="2:7" ht="16" customHeight="1" x14ac:dyDescent="0.2">
      <c r="B21" s="16" t="s">
        <v>90</v>
      </c>
      <c r="C21" s="17">
        <v>0.04</v>
      </c>
      <c r="D21" s="17">
        <v>0.02</v>
      </c>
      <c r="E21" s="17">
        <v>0.06</v>
      </c>
      <c r="F21" s="8" t="e">
        <f t="shared" si="0"/>
        <v>#VALUE!</v>
      </c>
      <c r="G21" s="16" t="s">
        <v>91</v>
      </c>
    </row>
    <row r="22" spans="2:7" ht="16" customHeight="1" x14ac:dyDescent="0.2">
      <c r="B22" s="13" t="s">
        <v>92</v>
      </c>
      <c r="C22" s="14">
        <v>1</v>
      </c>
      <c r="D22" s="20"/>
      <c r="E22" s="20"/>
      <c r="F22" s="15">
        <v>375000</v>
      </c>
      <c r="G22" s="13" t="s">
        <v>93</v>
      </c>
    </row>
  </sheetData>
  <mergeCells count="3">
    <mergeCell ref="B2:G2"/>
    <mergeCell ref="B4:G4"/>
    <mergeCell ref="B1:G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1"/>
  <sheetViews>
    <sheetView showGridLines="0" workbookViewId="0">
      <selection activeCell="A6" sqref="A6:XFD6"/>
    </sheetView>
  </sheetViews>
  <sheetFormatPr baseColWidth="10" defaultColWidth="8.83203125" defaultRowHeight="15" x14ac:dyDescent="0.2"/>
  <cols>
    <col min="1" max="1" width="2" customWidth="1"/>
    <col min="2" max="2" width="10" customWidth="1"/>
    <col min="3" max="3" width="34" customWidth="1"/>
    <col min="4" max="4" width="10" customWidth="1"/>
    <col min="5" max="5" width="11" customWidth="1"/>
    <col min="6" max="6" width="12" customWidth="1"/>
    <col min="7" max="7" width="34" customWidth="1"/>
    <col min="8" max="8" width="2" customWidth="1"/>
  </cols>
  <sheetData>
    <row r="1" spans="2:7" ht="8" customHeight="1" x14ac:dyDescent="0.2"/>
    <row r="2" spans="2:7" ht="26" customHeight="1" x14ac:dyDescent="0.2">
      <c r="B2" s="43" t="s">
        <v>94</v>
      </c>
      <c r="C2" s="36"/>
      <c r="D2" s="36"/>
      <c r="E2" s="36"/>
      <c r="F2" s="36"/>
      <c r="G2" s="36"/>
    </row>
    <row r="3" spans="2:7" ht="8" customHeight="1" x14ac:dyDescent="0.2"/>
    <row r="4" spans="2:7" ht="22" customHeight="1" x14ac:dyDescent="0.2">
      <c r="B4" s="37" t="s">
        <v>95</v>
      </c>
      <c r="C4" s="36"/>
      <c r="D4" s="36"/>
      <c r="E4" s="36"/>
      <c r="F4" s="36"/>
      <c r="G4" s="36"/>
    </row>
    <row r="5" spans="2:7" ht="18" customHeight="1" x14ac:dyDescent="0.2">
      <c r="B5" s="12" t="s">
        <v>96</v>
      </c>
      <c r="C5" s="12" t="s">
        <v>97</v>
      </c>
      <c r="D5" s="12" t="s">
        <v>98</v>
      </c>
      <c r="E5" s="12" t="s">
        <v>99</v>
      </c>
      <c r="F5" s="12" t="s">
        <v>100</v>
      </c>
      <c r="G5" s="12" t="s">
        <v>101</v>
      </c>
    </row>
    <row r="6" spans="2:7" ht="33" customHeight="1" x14ac:dyDescent="0.2">
      <c r="B6" s="21" t="s">
        <v>102</v>
      </c>
      <c r="C6" s="18" t="s">
        <v>103</v>
      </c>
      <c r="D6" s="22">
        <v>0.22</v>
      </c>
      <c r="E6" s="23">
        <v>2.9999999999999997E-4</v>
      </c>
      <c r="F6" s="24">
        <v>82500</v>
      </c>
      <c r="G6" s="18" t="s">
        <v>104</v>
      </c>
    </row>
    <row r="7" spans="2:7" ht="32" customHeight="1" x14ac:dyDescent="0.2">
      <c r="B7" s="25" t="s">
        <v>105</v>
      </c>
      <c r="C7" s="16" t="s">
        <v>106</v>
      </c>
      <c r="D7" s="26">
        <v>0.18</v>
      </c>
      <c r="E7" s="27">
        <v>6.9999999999999999E-4</v>
      </c>
      <c r="F7" s="28">
        <v>67500</v>
      </c>
      <c r="G7" s="16" t="s">
        <v>107</v>
      </c>
    </row>
    <row r="8" spans="2:7" ht="32" customHeight="1" x14ac:dyDescent="0.2">
      <c r="B8" s="21" t="s">
        <v>108</v>
      </c>
      <c r="C8" s="18" t="s">
        <v>109</v>
      </c>
      <c r="D8" s="22">
        <v>0.08</v>
      </c>
      <c r="E8" s="23">
        <v>2.9999999999999997E-4</v>
      </c>
      <c r="F8" s="24">
        <v>30000</v>
      </c>
      <c r="G8" s="18" t="s">
        <v>110</v>
      </c>
    </row>
    <row r="9" spans="2:7" ht="32" customHeight="1" x14ac:dyDescent="0.2">
      <c r="B9" s="25" t="s">
        <v>111</v>
      </c>
      <c r="C9" s="16" t="s">
        <v>112</v>
      </c>
      <c r="D9" s="26">
        <v>0.04</v>
      </c>
      <c r="E9" s="27">
        <v>2.9999999999999997E-4</v>
      </c>
      <c r="F9" s="28">
        <v>15000</v>
      </c>
      <c r="G9" s="16" t="s">
        <v>113</v>
      </c>
    </row>
    <row r="10" spans="2:7" ht="32" customHeight="1" x14ac:dyDescent="0.2">
      <c r="B10" s="21" t="s">
        <v>114</v>
      </c>
      <c r="C10" s="18" t="s">
        <v>115</v>
      </c>
      <c r="D10" s="22">
        <v>0.08</v>
      </c>
      <c r="E10" s="23">
        <v>1.1999999999999999E-3</v>
      </c>
      <c r="F10" s="24">
        <v>30000</v>
      </c>
      <c r="G10" s="18" t="s">
        <v>116</v>
      </c>
    </row>
    <row r="11" spans="2:7" ht="32" customHeight="1" x14ac:dyDescent="0.2">
      <c r="B11" s="25" t="s">
        <v>117</v>
      </c>
      <c r="C11" s="16" t="s">
        <v>118</v>
      </c>
      <c r="D11" s="26">
        <v>0.04</v>
      </c>
      <c r="E11" s="27">
        <v>5.9999999999999995E-4</v>
      </c>
      <c r="F11" s="28">
        <v>15000</v>
      </c>
      <c r="G11" s="16" t="s">
        <v>119</v>
      </c>
    </row>
    <row r="12" spans="2:7" ht="8" customHeight="1" x14ac:dyDescent="0.2">
      <c r="B12" s="36"/>
      <c r="C12" s="36"/>
      <c r="D12" s="36"/>
      <c r="E12" s="36"/>
      <c r="F12" s="36"/>
      <c r="G12" s="36"/>
    </row>
    <row r="13" spans="2:7" ht="22" customHeight="1" x14ac:dyDescent="0.2">
      <c r="B13" s="37" t="s">
        <v>120</v>
      </c>
      <c r="C13" s="36"/>
      <c r="D13" s="36"/>
      <c r="E13" s="36"/>
      <c r="F13" s="36"/>
      <c r="G13" s="36"/>
    </row>
    <row r="14" spans="2:7" ht="18" customHeight="1" x14ac:dyDescent="0.2">
      <c r="B14" s="29" t="s">
        <v>96</v>
      </c>
      <c r="C14" s="29" t="s">
        <v>97</v>
      </c>
      <c r="D14" s="29" t="s">
        <v>98</v>
      </c>
      <c r="E14" s="29" t="s">
        <v>99</v>
      </c>
      <c r="F14" s="29" t="s">
        <v>100</v>
      </c>
      <c r="G14" s="29" t="s">
        <v>101</v>
      </c>
    </row>
    <row r="15" spans="2:7" ht="32" customHeight="1" x14ac:dyDescent="0.2">
      <c r="B15" s="21" t="s">
        <v>121</v>
      </c>
      <c r="C15" s="18" t="s">
        <v>122</v>
      </c>
      <c r="D15" s="22">
        <v>0.06</v>
      </c>
      <c r="E15" s="23">
        <v>8.0000000000000004E-4</v>
      </c>
      <c r="F15" s="24">
        <v>22500</v>
      </c>
      <c r="G15" s="18" t="s">
        <v>123</v>
      </c>
    </row>
    <row r="16" spans="2:7" ht="32" customHeight="1" x14ac:dyDescent="0.2">
      <c r="B16" s="25" t="s">
        <v>124</v>
      </c>
      <c r="C16" s="16" t="s">
        <v>125</v>
      </c>
      <c r="D16" s="26">
        <v>0.06</v>
      </c>
      <c r="E16" s="27">
        <v>5.9999999999999995E-4</v>
      </c>
      <c r="F16" s="28">
        <v>22500</v>
      </c>
      <c r="G16" s="16" t="s">
        <v>126</v>
      </c>
    </row>
    <row r="17" spans="2:7" ht="32" customHeight="1" x14ac:dyDescent="0.2">
      <c r="B17" s="21" t="s">
        <v>127</v>
      </c>
      <c r="C17" s="18" t="s">
        <v>128</v>
      </c>
      <c r="D17" s="22">
        <v>0.04</v>
      </c>
      <c r="E17" s="23">
        <v>4.7999999999999996E-3</v>
      </c>
      <c r="F17" s="24">
        <v>15000</v>
      </c>
      <c r="G17" s="18" t="s">
        <v>129</v>
      </c>
    </row>
    <row r="18" spans="2:7" ht="32" customHeight="1" x14ac:dyDescent="0.2">
      <c r="B18" s="25" t="s">
        <v>130</v>
      </c>
      <c r="C18" s="16" t="s">
        <v>131</v>
      </c>
      <c r="D18" s="26">
        <v>0.04</v>
      </c>
      <c r="E18" s="27">
        <v>5.8999999999999999E-3</v>
      </c>
      <c r="F18" s="28">
        <v>15000</v>
      </c>
      <c r="G18" s="16" t="s">
        <v>132</v>
      </c>
    </row>
    <row r="19" spans="2:7" ht="32" customHeight="1" x14ac:dyDescent="0.2">
      <c r="B19" s="21" t="s">
        <v>133</v>
      </c>
      <c r="C19" s="18" t="s">
        <v>134</v>
      </c>
      <c r="D19" s="22">
        <v>0.04</v>
      </c>
      <c r="E19" s="23">
        <v>3.0000000000000001E-3</v>
      </c>
      <c r="F19" s="24">
        <v>15000</v>
      </c>
      <c r="G19" s="18" t="s">
        <v>135</v>
      </c>
    </row>
    <row r="20" spans="2:7" ht="32" customHeight="1" x14ac:dyDescent="0.2">
      <c r="B20" s="25" t="s">
        <v>136</v>
      </c>
      <c r="C20" s="16" t="s">
        <v>137</v>
      </c>
      <c r="D20" s="26">
        <v>0.01</v>
      </c>
      <c r="E20" s="27">
        <v>2E-3</v>
      </c>
      <c r="F20" s="28">
        <v>3750</v>
      </c>
      <c r="G20" s="16" t="s">
        <v>138</v>
      </c>
    </row>
    <row r="21" spans="2:7" ht="18" customHeight="1" x14ac:dyDescent="0.2">
      <c r="B21" s="44" t="s">
        <v>139</v>
      </c>
      <c r="C21" s="36"/>
      <c r="D21" s="36"/>
      <c r="E21" s="36"/>
      <c r="F21" s="36"/>
      <c r="G21" s="36"/>
    </row>
  </sheetData>
  <mergeCells count="5">
    <mergeCell ref="B2:G2"/>
    <mergeCell ref="B4:G4"/>
    <mergeCell ref="B12:G12"/>
    <mergeCell ref="B13:G13"/>
    <mergeCell ref="B21:G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0"/>
  <sheetViews>
    <sheetView showGridLines="0" workbookViewId="0">
      <selection activeCell="D30" sqref="D30"/>
    </sheetView>
  </sheetViews>
  <sheetFormatPr baseColWidth="10" defaultColWidth="8.83203125" defaultRowHeight="15" x14ac:dyDescent="0.2"/>
  <cols>
    <col min="1" max="1" width="2" customWidth="1"/>
    <col min="2" max="2" width="10" customWidth="1"/>
    <col min="3" max="3" width="28" customWidth="1"/>
    <col min="4" max="4" width="12" customWidth="1"/>
    <col min="5" max="5" width="14" customWidth="1"/>
    <col min="6" max="6" width="18" customWidth="1"/>
    <col min="7" max="7" width="2" customWidth="1"/>
  </cols>
  <sheetData>
    <row r="1" spans="2:6" ht="8" customHeight="1" x14ac:dyDescent="0.2"/>
    <row r="2" spans="2:6" ht="26" customHeight="1" x14ac:dyDescent="0.2">
      <c r="B2" s="43" t="s">
        <v>140</v>
      </c>
      <c r="C2" s="36"/>
      <c r="D2" s="36"/>
      <c r="E2" s="36"/>
      <c r="F2" s="36"/>
    </row>
    <row r="3" spans="2:6" ht="8" customHeight="1" x14ac:dyDescent="0.2"/>
    <row r="4" spans="2:6" ht="22" customHeight="1" x14ac:dyDescent="0.2">
      <c r="B4" s="37" t="s">
        <v>141</v>
      </c>
      <c r="C4" s="36"/>
      <c r="D4" s="36"/>
      <c r="E4" s="36"/>
      <c r="F4" s="36"/>
    </row>
    <row r="5" spans="2:6" ht="18" customHeight="1" x14ac:dyDescent="0.2">
      <c r="B5" s="12" t="s">
        <v>96</v>
      </c>
      <c r="C5" s="12" t="s">
        <v>142</v>
      </c>
      <c r="D5" s="12" t="s">
        <v>98</v>
      </c>
      <c r="E5" s="12" t="s">
        <v>143</v>
      </c>
      <c r="F5" s="12" t="s">
        <v>144</v>
      </c>
    </row>
    <row r="6" spans="2:6" ht="16" customHeight="1" x14ac:dyDescent="0.2">
      <c r="B6" s="2" t="s">
        <v>117</v>
      </c>
      <c r="C6" s="5" t="s">
        <v>145</v>
      </c>
      <c r="D6" s="19">
        <v>0.04</v>
      </c>
      <c r="E6" s="19">
        <v>1.7999999999999999E-2</v>
      </c>
      <c r="F6" s="6">
        <v>270</v>
      </c>
    </row>
    <row r="7" spans="2:6" ht="16" customHeight="1" x14ac:dyDescent="0.2">
      <c r="B7" s="3" t="s">
        <v>114</v>
      </c>
      <c r="C7" s="7" t="s">
        <v>146</v>
      </c>
      <c r="D7" s="17">
        <v>0.08</v>
      </c>
      <c r="E7" s="17">
        <v>3.5000000000000003E-2</v>
      </c>
      <c r="F7" s="8">
        <v>1050</v>
      </c>
    </row>
    <row r="8" spans="2:6" ht="16" customHeight="1" x14ac:dyDescent="0.2">
      <c r="B8" s="2" t="s">
        <v>108</v>
      </c>
      <c r="C8" s="5" t="s">
        <v>147</v>
      </c>
      <c r="D8" s="19">
        <v>0.08</v>
      </c>
      <c r="E8" s="19">
        <v>3.2000000000000001E-2</v>
      </c>
      <c r="F8" s="6">
        <v>960</v>
      </c>
    </row>
    <row r="9" spans="2:6" ht="16" customHeight="1" x14ac:dyDescent="0.2">
      <c r="B9" s="3" t="s">
        <v>111</v>
      </c>
      <c r="C9" s="7" t="s">
        <v>148</v>
      </c>
      <c r="D9" s="17">
        <v>0.04</v>
      </c>
      <c r="E9" s="17">
        <v>2.4E-2</v>
      </c>
      <c r="F9" s="8">
        <v>360</v>
      </c>
    </row>
    <row r="10" spans="2:6" ht="16" customHeight="1" x14ac:dyDescent="0.2">
      <c r="B10" s="2" t="s">
        <v>127</v>
      </c>
      <c r="C10" s="5" t="s">
        <v>149</v>
      </c>
      <c r="D10" s="19">
        <v>0.04</v>
      </c>
      <c r="E10" s="19">
        <v>5.8000000000000003E-2</v>
      </c>
      <c r="F10" s="6">
        <v>870</v>
      </c>
    </row>
    <row r="11" spans="2:6" ht="16" customHeight="1" x14ac:dyDescent="0.2">
      <c r="B11" s="3" t="s">
        <v>105</v>
      </c>
      <c r="C11" s="7" t="s">
        <v>150</v>
      </c>
      <c r="D11" s="17">
        <v>0.18</v>
      </c>
      <c r="E11" s="17">
        <v>2.9000000000000001E-2</v>
      </c>
      <c r="F11" s="8">
        <v>1958</v>
      </c>
    </row>
    <row r="12" spans="2:6" ht="18" customHeight="1" x14ac:dyDescent="0.2">
      <c r="B12" s="1" t="s">
        <v>151</v>
      </c>
      <c r="C12" s="20" t="s">
        <v>152</v>
      </c>
      <c r="D12" s="14">
        <v>0.46</v>
      </c>
      <c r="E12" s="14">
        <v>2.9000000000000001E-2</v>
      </c>
      <c r="F12" s="15">
        <f>SUM(F6:F11)</f>
        <v>5468</v>
      </c>
    </row>
    <row r="13" spans="2:6" ht="8" customHeight="1" x14ac:dyDescent="0.2">
      <c r="B13" s="36"/>
      <c r="C13" s="36"/>
      <c r="D13" s="36"/>
      <c r="E13" s="36"/>
      <c r="F13" s="36"/>
    </row>
    <row r="14" spans="2:6" ht="22" customHeight="1" x14ac:dyDescent="0.2">
      <c r="B14" s="37" t="s">
        <v>153</v>
      </c>
      <c r="C14" s="36"/>
      <c r="D14" s="36"/>
      <c r="E14" s="36"/>
      <c r="F14" s="36"/>
    </row>
    <row r="15" spans="2:6" ht="18" customHeight="1" x14ac:dyDescent="0.2">
      <c r="B15" s="29" t="s">
        <v>96</v>
      </c>
      <c r="C15" s="29" t="s">
        <v>142</v>
      </c>
      <c r="D15" s="29" t="s">
        <v>98</v>
      </c>
      <c r="E15" s="29" t="s">
        <v>154</v>
      </c>
      <c r="F15" s="29" t="s">
        <v>155</v>
      </c>
    </row>
    <row r="16" spans="2:6" ht="32" customHeight="1" x14ac:dyDescent="0.2">
      <c r="B16" s="30" t="s">
        <v>102</v>
      </c>
      <c r="C16" s="18" t="s">
        <v>156</v>
      </c>
      <c r="D16" s="30" t="s">
        <v>157</v>
      </c>
      <c r="E16" s="18" t="s">
        <v>158</v>
      </c>
      <c r="F16" s="18" t="s">
        <v>159</v>
      </c>
    </row>
    <row r="17" spans="2:6" ht="32" customHeight="1" x14ac:dyDescent="0.2">
      <c r="B17" s="31" t="s">
        <v>121</v>
      </c>
      <c r="C17" s="16" t="s">
        <v>160</v>
      </c>
      <c r="D17" s="31" t="s">
        <v>161</v>
      </c>
      <c r="E17" s="16" t="s">
        <v>162</v>
      </c>
      <c r="F17" s="16" t="s">
        <v>163</v>
      </c>
    </row>
    <row r="18" spans="2:6" ht="32" customHeight="1" x14ac:dyDescent="0.2">
      <c r="B18" s="30" t="s">
        <v>124</v>
      </c>
      <c r="C18" s="18" t="s">
        <v>164</v>
      </c>
      <c r="D18" s="30" t="s">
        <v>161</v>
      </c>
      <c r="E18" s="18" t="s">
        <v>165</v>
      </c>
      <c r="F18" s="18" t="s">
        <v>166</v>
      </c>
    </row>
    <row r="19" spans="2:6" ht="32" customHeight="1" x14ac:dyDescent="0.2">
      <c r="B19" s="31" t="s">
        <v>133</v>
      </c>
      <c r="C19" s="16" t="s">
        <v>167</v>
      </c>
      <c r="D19" s="31" t="s">
        <v>168</v>
      </c>
      <c r="E19" s="16" t="s">
        <v>169</v>
      </c>
      <c r="F19" s="16" t="s">
        <v>170</v>
      </c>
    </row>
    <row r="20" spans="2:6" ht="32" customHeight="1" x14ac:dyDescent="0.2">
      <c r="B20" s="30" t="s">
        <v>136</v>
      </c>
      <c r="C20" s="18" t="s">
        <v>171</v>
      </c>
      <c r="D20" s="30" t="s">
        <v>172</v>
      </c>
      <c r="E20" s="18" t="s">
        <v>173</v>
      </c>
      <c r="F20" s="18" t="s">
        <v>174</v>
      </c>
    </row>
  </sheetData>
  <mergeCells count="4">
    <mergeCell ref="B2:F2"/>
    <mergeCell ref="B4:F4"/>
    <mergeCell ref="B13:F13"/>
    <mergeCell ref="B14:F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16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14" customWidth="1"/>
    <col min="3" max="4" width="22" customWidth="1"/>
    <col min="5" max="5" width="20" customWidth="1"/>
    <col min="6" max="6" width="10" customWidth="1"/>
    <col min="7" max="7" width="2" customWidth="1"/>
  </cols>
  <sheetData>
    <row r="1" spans="2:6" ht="8" customHeight="1" x14ac:dyDescent="0.2"/>
    <row r="2" spans="2:6" ht="26" customHeight="1" x14ac:dyDescent="0.2">
      <c r="B2" s="43" t="s">
        <v>175</v>
      </c>
      <c r="C2" s="36"/>
      <c r="D2" s="36"/>
      <c r="E2" s="36"/>
      <c r="F2" s="36"/>
    </row>
    <row r="3" spans="2:6" ht="8" customHeight="1" x14ac:dyDescent="0.2"/>
    <row r="4" spans="2:6" ht="22" customHeight="1" x14ac:dyDescent="0.2">
      <c r="B4" s="37" t="s">
        <v>176</v>
      </c>
      <c r="C4" s="36"/>
      <c r="D4" s="36"/>
      <c r="E4" s="36"/>
      <c r="F4" s="36"/>
    </row>
    <row r="5" spans="2:6" ht="18" customHeight="1" x14ac:dyDescent="0.2">
      <c r="B5" s="12" t="s">
        <v>177</v>
      </c>
      <c r="C5" s="12" t="s">
        <v>178</v>
      </c>
      <c r="D5" s="12" t="s">
        <v>179</v>
      </c>
      <c r="E5" s="12" t="s">
        <v>180</v>
      </c>
      <c r="F5" s="12" t="s">
        <v>181</v>
      </c>
    </row>
    <row r="6" spans="2:6" ht="48" customHeight="1" x14ac:dyDescent="0.2">
      <c r="B6" s="32" t="s">
        <v>182</v>
      </c>
      <c r="C6" s="18" t="s">
        <v>183</v>
      </c>
      <c r="D6" s="18" t="s">
        <v>184</v>
      </c>
      <c r="E6" s="18" t="s">
        <v>185</v>
      </c>
      <c r="F6" s="30" t="s">
        <v>186</v>
      </c>
    </row>
    <row r="7" spans="2:6" ht="48" customHeight="1" x14ac:dyDescent="0.2">
      <c r="B7" s="33" t="s">
        <v>187</v>
      </c>
      <c r="C7" s="16" t="s">
        <v>188</v>
      </c>
      <c r="D7" s="16" t="s">
        <v>189</v>
      </c>
      <c r="E7" s="16" t="s">
        <v>190</v>
      </c>
      <c r="F7" s="31" t="s">
        <v>186</v>
      </c>
    </row>
    <row r="8" spans="2:6" ht="48" customHeight="1" x14ac:dyDescent="0.2">
      <c r="B8" s="32" t="s">
        <v>191</v>
      </c>
      <c r="C8" s="18" t="s">
        <v>192</v>
      </c>
      <c r="D8" s="18" t="s">
        <v>193</v>
      </c>
      <c r="E8" s="18" t="s">
        <v>194</v>
      </c>
      <c r="F8" s="30" t="s">
        <v>195</v>
      </c>
    </row>
    <row r="9" spans="2:6" ht="48" customHeight="1" x14ac:dyDescent="0.2">
      <c r="B9" s="33" t="s">
        <v>196</v>
      </c>
      <c r="C9" s="16" t="s">
        <v>197</v>
      </c>
      <c r="D9" s="16" t="s">
        <v>198</v>
      </c>
      <c r="E9" s="16" t="s">
        <v>199</v>
      </c>
      <c r="F9" s="31" t="s">
        <v>200</v>
      </c>
    </row>
    <row r="10" spans="2:6" ht="8" customHeight="1" x14ac:dyDescent="0.2">
      <c r="B10" s="36"/>
      <c r="C10" s="36"/>
      <c r="D10" s="36"/>
      <c r="E10" s="36"/>
      <c r="F10" s="36"/>
    </row>
    <row r="11" spans="2:6" ht="22" customHeight="1" x14ac:dyDescent="0.2">
      <c r="B11" s="37" t="s">
        <v>201</v>
      </c>
      <c r="C11" s="36"/>
      <c r="D11" s="36"/>
      <c r="E11" s="36"/>
      <c r="F11" s="36"/>
    </row>
    <row r="12" spans="2:6" ht="18" customHeight="1" x14ac:dyDescent="0.2">
      <c r="B12" s="47" t="s">
        <v>202</v>
      </c>
      <c r="C12" s="48"/>
      <c r="D12" s="47" t="s">
        <v>55</v>
      </c>
      <c r="E12" s="36"/>
      <c r="F12" s="36"/>
    </row>
    <row r="13" spans="2:6" ht="20" customHeight="1" x14ac:dyDescent="0.2">
      <c r="B13" s="45" t="s">
        <v>203</v>
      </c>
      <c r="C13" s="36"/>
      <c r="D13" s="18" t="s">
        <v>204</v>
      </c>
      <c r="E13" s="45" t="s">
        <v>205</v>
      </c>
      <c r="F13" s="36"/>
    </row>
    <row r="14" spans="2:6" ht="20" customHeight="1" x14ac:dyDescent="0.2">
      <c r="B14" s="46" t="s">
        <v>206</v>
      </c>
      <c r="C14" s="36"/>
      <c r="D14" s="16" t="s">
        <v>207</v>
      </c>
      <c r="E14" s="46" t="s">
        <v>208</v>
      </c>
      <c r="F14" s="36"/>
    </row>
    <row r="15" spans="2:6" ht="20" customHeight="1" x14ac:dyDescent="0.2">
      <c r="B15" s="45" t="s">
        <v>209</v>
      </c>
      <c r="C15" s="36"/>
      <c r="D15" s="18" t="s">
        <v>210</v>
      </c>
      <c r="E15" s="45" t="s">
        <v>211</v>
      </c>
      <c r="F15" s="36"/>
    </row>
    <row r="16" spans="2:6" ht="20" customHeight="1" x14ac:dyDescent="0.2">
      <c r="B16" s="46" t="s">
        <v>212</v>
      </c>
      <c r="C16" s="36"/>
      <c r="D16" s="16" t="s">
        <v>213</v>
      </c>
      <c r="E16" s="46" t="s">
        <v>214</v>
      </c>
      <c r="F16" s="36"/>
    </row>
  </sheetData>
  <mergeCells count="15">
    <mergeCell ref="B2:F2"/>
    <mergeCell ref="E15:F15"/>
    <mergeCell ref="B10:F10"/>
    <mergeCell ref="B11:F11"/>
    <mergeCell ref="B14:C14"/>
    <mergeCell ref="E13:F13"/>
    <mergeCell ref="E14:F14"/>
    <mergeCell ref="B12:C12"/>
    <mergeCell ref="B4:F4"/>
    <mergeCell ref="E12:F12"/>
    <mergeCell ref="B13:C13"/>
    <mergeCell ref="B16:C16"/>
    <mergeCell ref="D12"/>
    <mergeCell ref="B15:C15"/>
    <mergeCell ref="E16:F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25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16" customWidth="1"/>
    <col min="3" max="3" width="20" customWidth="1"/>
    <col min="4" max="4" width="38" customWidth="1"/>
    <col min="5" max="5" width="10" customWidth="1"/>
    <col min="6" max="6" width="2" customWidth="1"/>
  </cols>
  <sheetData>
    <row r="1" spans="2:5" ht="8" customHeight="1" x14ac:dyDescent="0.2"/>
    <row r="2" spans="2:5" ht="26" customHeight="1" x14ac:dyDescent="0.2">
      <c r="B2" s="43" t="s">
        <v>215</v>
      </c>
      <c r="C2" s="36"/>
      <c r="D2" s="36"/>
      <c r="E2" s="36"/>
    </row>
    <row r="3" spans="2:5" ht="8" customHeight="1" x14ac:dyDescent="0.2"/>
    <row r="4" spans="2:5" ht="22" customHeight="1" x14ac:dyDescent="0.2">
      <c r="B4" s="37" t="s">
        <v>216</v>
      </c>
      <c r="C4" s="36"/>
      <c r="D4" s="36"/>
      <c r="E4" s="36"/>
    </row>
    <row r="5" spans="2:5" ht="18" customHeight="1" x14ac:dyDescent="0.2">
      <c r="B5" s="12" t="s">
        <v>217</v>
      </c>
      <c r="C5" s="12" t="s">
        <v>218</v>
      </c>
      <c r="D5" s="12" t="s">
        <v>219</v>
      </c>
      <c r="E5" s="12" t="s">
        <v>181</v>
      </c>
    </row>
    <row r="6" spans="2:5" ht="24" customHeight="1" x14ac:dyDescent="0.2">
      <c r="B6" s="18" t="s">
        <v>220</v>
      </c>
      <c r="C6" s="18" t="s">
        <v>221</v>
      </c>
      <c r="D6" s="18" t="s">
        <v>222</v>
      </c>
      <c r="E6" s="18" t="s">
        <v>223</v>
      </c>
    </row>
    <row r="7" spans="2:5" ht="24" customHeight="1" x14ac:dyDescent="0.2">
      <c r="B7" s="16" t="s">
        <v>224</v>
      </c>
      <c r="C7" s="16" t="s">
        <v>225</v>
      </c>
      <c r="D7" s="16" t="s">
        <v>226</v>
      </c>
      <c r="E7" s="16" t="s">
        <v>227</v>
      </c>
    </row>
    <row r="8" spans="2:5" ht="24" customHeight="1" x14ac:dyDescent="0.2">
      <c r="B8" s="18" t="s">
        <v>228</v>
      </c>
      <c r="C8" s="18" t="s">
        <v>229</v>
      </c>
      <c r="D8" s="18" t="s">
        <v>230</v>
      </c>
      <c r="E8" s="18" t="s">
        <v>231</v>
      </c>
    </row>
    <row r="9" spans="2:5" ht="24" customHeight="1" x14ac:dyDescent="0.2">
      <c r="B9" s="16" t="s">
        <v>232</v>
      </c>
      <c r="C9" s="16" t="s">
        <v>233</v>
      </c>
      <c r="D9" s="16" t="s">
        <v>234</v>
      </c>
      <c r="E9" s="16" t="s">
        <v>235</v>
      </c>
    </row>
    <row r="10" spans="2:5" ht="24" customHeight="1" x14ac:dyDescent="0.2">
      <c r="B10" s="18" t="s">
        <v>236</v>
      </c>
      <c r="C10" s="18" t="s">
        <v>237</v>
      </c>
      <c r="D10" s="18" t="s">
        <v>238</v>
      </c>
      <c r="E10" s="18" t="s">
        <v>227</v>
      </c>
    </row>
    <row r="11" spans="2:5" ht="8" customHeight="1" x14ac:dyDescent="0.2">
      <c r="B11" s="36"/>
      <c r="C11" s="36"/>
      <c r="D11" s="36"/>
      <c r="E11" s="36"/>
    </row>
    <row r="12" spans="2:5" ht="22" customHeight="1" x14ac:dyDescent="0.2">
      <c r="B12" s="37" t="s">
        <v>239</v>
      </c>
      <c r="C12" s="36"/>
      <c r="D12" s="36"/>
      <c r="E12" s="36"/>
    </row>
    <row r="13" spans="2:5" ht="18" customHeight="1" x14ac:dyDescent="0.2">
      <c r="B13" s="29" t="s">
        <v>240</v>
      </c>
      <c r="C13" s="29" t="s">
        <v>241</v>
      </c>
      <c r="D13" s="29" t="s">
        <v>242</v>
      </c>
      <c r="E13" s="29" t="s">
        <v>243</v>
      </c>
    </row>
    <row r="14" spans="2:5" ht="36" customHeight="1" x14ac:dyDescent="0.2">
      <c r="B14" s="32" t="s">
        <v>244</v>
      </c>
      <c r="C14" s="30" t="s">
        <v>245</v>
      </c>
      <c r="D14" s="18" t="s">
        <v>246</v>
      </c>
      <c r="E14" s="30" t="s">
        <v>247</v>
      </c>
    </row>
    <row r="15" spans="2:5" ht="36" customHeight="1" x14ac:dyDescent="0.2">
      <c r="B15" s="33" t="s">
        <v>248</v>
      </c>
      <c r="C15" s="31" t="s">
        <v>249</v>
      </c>
      <c r="D15" s="16" t="s">
        <v>250</v>
      </c>
      <c r="E15" s="31" t="s">
        <v>251</v>
      </c>
    </row>
    <row r="16" spans="2:5" ht="36" customHeight="1" x14ac:dyDescent="0.2">
      <c r="B16" s="32" t="s">
        <v>252</v>
      </c>
      <c r="C16" s="30" t="s">
        <v>253</v>
      </c>
      <c r="D16" s="18" t="s">
        <v>254</v>
      </c>
      <c r="E16" s="30" t="s">
        <v>247</v>
      </c>
    </row>
    <row r="17" spans="2:5" ht="36" customHeight="1" x14ac:dyDescent="0.2">
      <c r="B17" s="33" t="s">
        <v>255</v>
      </c>
      <c r="C17" s="31" t="s">
        <v>256</v>
      </c>
      <c r="D17" s="16" t="s">
        <v>257</v>
      </c>
      <c r="E17" s="31" t="s">
        <v>258</v>
      </c>
    </row>
    <row r="18" spans="2:5" ht="36" customHeight="1" x14ac:dyDescent="0.2">
      <c r="B18" s="32" t="s">
        <v>259</v>
      </c>
      <c r="C18" s="30" t="s">
        <v>260</v>
      </c>
      <c r="D18" s="18" t="s">
        <v>261</v>
      </c>
      <c r="E18" s="30" t="s">
        <v>247</v>
      </c>
    </row>
    <row r="19" spans="2:5" ht="8" customHeight="1" x14ac:dyDescent="0.2">
      <c r="B19" s="36"/>
      <c r="C19" s="36"/>
      <c r="D19" s="36"/>
      <c r="E19" s="36"/>
    </row>
    <row r="20" spans="2:5" ht="22" customHeight="1" x14ac:dyDescent="0.2">
      <c r="B20" s="37" t="s">
        <v>262</v>
      </c>
      <c r="C20" s="36"/>
      <c r="D20" s="36"/>
      <c r="E20" s="36"/>
    </row>
    <row r="21" spans="2:5" ht="20" customHeight="1" x14ac:dyDescent="0.2">
      <c r="B21" s="49" t="s">
        <v>263</v>
      </c>
      <c r="C21" s="36"/>
      <c r="D21" s="36"/>
      <c r="E21" s="36"/>
    </row>
    <row r="22" spans="2:5" ht="20" customHeight="1" x14ac:dyDescent="0.2">
      <c r="B22" s="46" t="s">
        <v>264</v>
      </c>
      <c r="C22" s="36"/>
      <c r="D22" s="36"/>
      <c r="E22" s="36"/>
    </row>
    <row r="23" spans="2:5" ht="20" customHeight="1" x14ac:dyDescent="0.2">
      <c r="B23" s="49" t="s">
        <v>265</v>
      </c>
      <c r="C23" s="36"/>
      <c r="D23" s="36"/>
      <c r="E23" s="36"/>
    </row>
    <row r="24" spans="2:5" ht="20" customHeight="1" x14ac:dyDescent="0.2">
      <c r="B24" s="46" t="s">
        <v>266</v>
      </c>
      <c r="C24" s="36"/>
      <c r="D24" s="36"/>
      <c r="E24" s="36"/>
    </row>
    <row r="25" spans="2:5" ht="20" customHeight="1" x14ac:dyDescent="0.2">
      <c r="B25" s="49" t="s">
        <v>267</v>
      </c>
      <c r="C25" s="36"/>
      <c r="D25" s="36"/>
      <c r="E25" s="36"/>
    </row>
  </sheetData>
  <mergeCells count="11">
    <mergeCell ref="B25:E25"/>
    <mergeCell ref="B24:E24"/>
    <mergeCell ref="B19:E19"/>
    <mergeCell ref="B2:E2"/>
    <mergeCell ref="B22:E22"/>
    <mergeCell ref="B20:E20"/>
    <mergeCell ref="B23:E23"/>
    <mergeCell ref="B4:E4"/>
    <mergeCell ref="B12:E12"/>
    <mergeCell ref="B21:E21"/>
    <mergeCell ref="B11:E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29"/>
  <sheetViews>
    <sheetView showGridLines="0" tabSelected="1" workbookViewId="0">
      <selection activeCell="B1" sqref="B1:E29"/>
    </sheetView>
  </sheetViews>
  <sheetFormatPr baseColWidth="10" defaultColWidth="8.83203125" defaultRowHeight="15" x14ac:dyDescent="0.2"/>
  <cols>
    <col min="1" max="1" width="2" customWidth="1"/>
    <col min="2" max="2" width="26" customWidth="1"/>
    <col min="3" max="4" width="16" customWidth="1"/>
    <col min="5" max="5" width="26" customWidth="1"/>
    <col min="6" max="6" width="2" customWidth="1"/>
  </cols>
  <sheetData>
    <row r="2" spans="2:5" ht="18" x14ac:dyDescent="0.2">
      <c r="B2" s="43" t="s">
        <v>268</v>
      </c>
      <c r="C2" s="36"/>
      <c r="D2" s="36"/>
      <c r="E2" s="36"/>
    </row>
    <row r="4" spans="2:5" ht="16" x14ac:dyDescent="0.2">
      <c r="B4" s="37" t="s">
        <v>269</v>
      </c>
      <c r="C4" s="36"/>
      <c r="D4" s="36"/>
      <c r="E4" s="36"/>
    </row>
    <row r="5" spans="2:5" x14ac:dyDescent="0.2">
      <c r="B5" s="12" t="s">
        <v>270</v>
      </c>
      <c r="C5" s="12" t="s">
        <v>271</v>
      </c>
      <c r="D5" s="12" t="s">
        <v>272</v>
      </c>
      <c r="E5" s="12" t="s">
        <v>273</v>
      </c>
    </row>
    <row r="6" spans="2:5" ht="42" x14ac:dyDescent="0.2">
      <c r="B6" s="18" t="s">
        <v>274</v>
      </c>
      <c r="C6" s="30" t="s">
        <v>275</v>
      </c>
      <c r="D6" s="30" t="s">
        <v>276</v>
      </c>
      <c r="E6" s="18" t="s">
        <v>277</v>
      </c>
    </row>
    <row r="7" spans="2:5" ht="42" x14ac:dyDescent="0.2">
      <c r="B7" s="16" t="s">
        <v>278</v>
      </c>
      <c r="C7" s="31" t="s">
        <v>279</v>
      </c>
      <c r="D7" s="31" t="s">
        <v>276</v>
      </c>
      <c r="E7" s="16" t="s">
        <v>280</v>
      </c>
    </row>
    <row r="8" spans="2:5" ht="42" x14ac:dyDescent="0.2">
      <c r="B8" s="18" t="s">
        <v>281</v>
      </c>
      <c r="C8" s="30" t="s">
        <v>282</v>
      </c>
      <c r="D8" s="30" t="s">
        <v>283</v>
      </c>
      <c r="E8" s="18" t="s">
        <v>284</v>
      </c>
    </row>
    <row r="9" spans="2:5" ht="42" x14ac:dyDescent="0.2">
      <c r="B9" s="16" t="s">
        <v>285</v>
      </c>
      <c r="C9" s="31" t="s">
        <v>286</v>
      </c>
      <c r="D9" s="31" t="s">
        <v>283</v>
      </c>
      <c r="E9" s="16" t="s">
        <v>287</v>
      </c>
    </row>
    <row r="10" spans="2:5" ht="42" x14ac:dyDescent="0.2">
      <c r="B10" s="18" t="s">
        <v>288</v>
      </c>
      <c r="C10" s="30" t="s">
        <v>289</v>
      </c>
      <c r="D10" s="30" t="s">
        <v>290</v>
      </c>
      <c r="E10" s="18" t="s">
        <v>291</v>
      </c>
    </row>
    <row r="11" spans="2:5" ht="42" x14ac:dyDescent="0.2">
      <c r="B11" s="13" t="s">
        <v>292</v>
      </c>
      <c r="C11" s="34" t="s">
        <v>293</v>
      </c>
      <c r="D11" s="34" t="s">
        <v>294</v>
      </c>
      <c r="E11" s="13" t="s">
        <v>295</v>
      </c>
    </row>
    <row r="12" spans="2:5" x14ac:dyDescent="0.2">
      <c r="B12" s="36"/>
      <c r="C12" s="36"/>
      <c r="D12" s="36"/>
      <c r="E12" s="36"/>
    </row>
    <row r="13" spans="2:5" ht="16" x14ac:dyDescent="0.2">
      <c r="B13" s="37" t="s">
        <v>296</v>
      </c>
      <c r="C13" s="36"/>
      <c r="D13" s="36"/>
      <c r="E13" s="36"/>
    </row>
    <row r="14" spans="2:5" ht="28" x14ac:dyDescent="0.2">
      <c r="B14" s="29" t="s">
        <v>297</v>
      </c>
      <c r="C14" s="29" t="s">
        <v>298</v>
      </c>
      <c r="D14" s="29" t="s">
        <v>299</v>
      </c>
      <c r="E14" s="29" t="s">
        <v>300</v>
      </c>
    </row>
    <row r="15" spans="2:5" ht="56" x14ac:dyDescent="0.2">
      <c r="B15" s="18" t="s">
        <v>301</v>
      </c>
      <c r="C15" s="30" t="s">
        <v>302</v>
      </c>
      <c r="D15" s="18" t="s">
        <v>303</v>
      </c>
      <c r="E15" s="30" t="s">
        <v>304</v>
      </c>
    </row>
    <row r="16" spans="2:5" ht="56" x14ac:dyDescent="0.2">
      <c r="B16" s="16" t="s">
        <v>305</v>
      </c>
      <c r="C16" s="31" t="s">
        <v>306</v>
      </c>
      <c r="D16" s="16" t="s">
        <v>307</v>
      </c>
      <c r="E16" s="31" t="s">
        <v>304</v>
      </c>
    </row>
    <row r="17" spans="2:5" ht="56" x14ac:dyDescent="0.2">
      <c r="B17" s="18" t="s">
        <v>308</v>
      </c>
      <c r="C17" s="30" t="s">
        <v>309</v>
      </c>
      <c r="D17" s="18" t="s">
        <v>310</v>
      </c>
      <c r="E17" s="30" t="s">
        <v>311</v>
      </c>
    </row>
    <row r="18" spans="2:5" ht="56" x14ac:dyDescent="0.2">
      <c r="B18" s="16" t="s">
        <v>312</v>
      </c>
      <c r="C18" s="31" t="s">
        <v>309</v>
      </c>
      <c r="D18" s="16" t="s">
        <v>313</v>
      </c>
      <c r="E18" s="31" t="s">
        <v>311</v>
      </c>
    </row>
    <row r="19" spans="2:5" ht="56" x14ac:dyDescent="0.2">
      <c r="B19" s="18" t="s">
        <v>314</v>
      </c>
      <c r="C19" s="30" t="s">
        <v>315</v>
      </c>
      <c r="D19" s="18" t="s">
        <v>316</v>
      </c>
      <c r="E19" s="30" t="s">
        <v>311</v>
      </c>
    </row>
    <row r="20" spans="2:5" x14ac:dyDescent="0.2">
      <c r="B20" s="36"/>
      <c r="C20" s="36"/>
      <c r="D20" s="36"/>
      <c r="E20" s="36"/>
    </row>
    <row r="21" spans="2:5" ht="16" x14ac:dyDescent="0.2">
      <c r="B21" s="37" t="s">
        <v>317</v>
      </c>
      <c r="C21" s="36"/>
      <c r="D21" s="36"/>
      <c r="E21" s="36"/>
    </row>
    <row r="22" spans="2:5" x14ac:dyDescent="0.2">
      <c r="B22" s="12" t="s">
        <v>318</v>
      </c>
      <c r="C22" s="12" t="s">
        <v>319</v>
      </c>
      <c r="D22" s="12" t="s">
        <v>320</v>
      </c>
      <c r="E22" s="12" t="s">
        <v>321</v>
      </c>
    </row>
    <row r="23" spans="2:5" ht="28" x14ac:dyDescent="0.2">
      <c r="B23" s="18" t="s">
        <v>322</v>
      </c>
      <c r="C23" s="30" t="s">
        <v>323</v>
      </c>
      <c r="D23" s="18" t="s">
        <v>324</v>
      </c>
      <c r="E23" s="18" t="s">
        <v>325</v>
      </c>
    </row>
    <row r="24" spans="2:5" ht="28" x14ac:dyDescent="0.2">
      <c r="B24" s="16" t="s">
        <v>326</v>
      </c>
      <c r="C24" s="31" t="s">
        <v>327</v>
      </c>
      <c r="D24" s="16" t="s">
        <v>328</v>
      </c>
      <c r="E24" s="16" t="s">
        <v>329</v>
      </c>
    </row>
    <row r="25" spans="2:5" ht="28" x14ac:dyDescent="0.2">
      <c r="B25" s="18" t="s">
        <v>330</v>
      </c>
      <c r="C25" s="30" t="s">
        <v>331</v>
      </c>
      <c r="D25" s="18" t="s">
        <v>332</v>
      </c>
      <c r="E25" s="18" t="s">
        <v>333</v>
      </c>
    </row>
    <row r="26" spans="2:5" ht="28" x14ac:dyDescent="0.2">
      <c r="B26" s="16" t="s">
        <v>334</v>
      </c>
      <c r="C26" s="31" t="s">
        <v>335</v>
      </c>
      <c r="D26" s="16" t="s">
        <v>336</v>
      </c>
      <c r="E26" s="16" t="s">
        <v>337</v>
      </c>
    </row>
    <row r="27" spans="2:5" ht="28" x14ac:dyDescent="0.2">
      <c r="B27" s="18" t="s">
        <v>338</v>
      </c>
      <c r="C27" s="30" t="s">
        <v>335</v>
      </c>
      <c r="D27" s="18" t="s">
        <v>339</v>
      </c>
      <c r="E27" s="18" t="s">
        <v>340</v>
      </c>
    </row>
    <row r="28" spans="2:5" ht="28" x14ac:dyDescent="0.2">
      <c r="B28" s="16" t="s">
        <v>341</v>
      </c>
      <c r="C28" s="31" t="s">
        <v>335</v>
      </c>
      <c r="D28" s="16" t="s">
        <v>342</v>
      </c>
      <c r="E28" s="16" t="s">
        <v>343</v>
      </c>
    </row>
    <row r="29" spans="2:5" ht="42" x14ac:dyDescent="0.2">
      <c r="B29" s="13" t="s">
        <v>344</v>
      </c>
      <c r="C29" s="34" t="s">
        <v>345</v>
      </c>
      <c r="D29" s="13" t="s">
        <v>346</v>
      </c>
      <c r="E29" s="13" t="s">
        <v>347</v>
      </c>
    </row>
  </sheetData>
  <mergeCells count="6">
    <mergeCell ref="B4:E4"/>
    <mergeCell ref="B12:E12"/>
    <mergeCell ref="B13:E13"/>
    <mergeCell ref="B21:E21"/>
    <mergeCell ref="B2:E2"/>
    <mergeCell ref="B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Dashboard</vt:lpstr>
      <vt:lpstr>📐 Asset Allocation</vt:lpstr>
      <vt:lpstr>🏦 Fund Selection</vt:lpstr>
      <vt:lpstr>💰 Income &amp; Growth</vt:lpstr>
      <vt:lpstr>🧾 Tax Location</vt:lpstr>
      <vt:lpstr>📅 Rebalancing</vt:lpstr>
      <vt:lpstr>⚡ Risk &amp;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AAKASH</cp:lastModifiedBy>
  <dcterms:created xsi:type="dcterms:W3CDTF">2026-03-07T06:44:06Z</dcterms:created>
  <dcterms:modified xsi:type="dcterms:W3CDTF">2026-03-07T07:30:18Z</dcterms:modified>
</cp:coreProperties>
</file>